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965A024-65F1-4EE0-9936-EF83F0966120}" xr6:coauthVersionLast="47" xr6:coauthVersionMax="47" xr10:uidLastSave="{00000000-0000-0000-0000-000000000000}"/>
  <bookViews>
    <workbookView xWindow="-110" yWindow="-110" windowWidth="19420" windowHeight="10300" xr2:uid="{058E685B-539C-4D93-8BE3-44F5D1140559}"/>
  </bookViews>
  <sheets>
    <sheet name="analysis_calculated" sheetId="6" r:id="rId1"/>
    <sheet name="data_validation" sheetId="7" r:id="rId2"/>
    <sheet name="01_Rates" sheetId="10" r:id="rId3"/>
    <sheet name="02_New_Lending" sheetId="11" r:id="rId4"/>
    <sheet name="03_Loan_Growth" sheetId="12" r:id="rId5"/>
    <sheet name="04_Policy_Regime_Rate" sheetId="22" r:id="rId6"/>
    <sheet name="04_Policy_Regime_Volume" sheetId="20" r:id="rId7"/>
    <sheet name="05_Average_Yearly_Values" sheetId="8" r:id="rId8"/>
    <sheet name="ECB_DFR" sheetId="2" r:id="rId9"/>
    <sheet name="Corporate_Loan_Rate" sheetId="5" r:id="rId10"/>
    <sheet name="Loan_Stock" sheetId="4" r:id="rId11"/>
    <sheet name="New_Loan_Volume" sheetId="3" r:id="rId12"/>
  </sheets>
  <calcPr calcId="191029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10" i="7" l="1"/>
  <c r="Q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S2" i="7"/>
  <c r="R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2" i="7"/>
  <c r="J2" i="6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2" i="7"/>
  <c r="I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M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2" i="7"/>
  <c r="O2" i="7"/>
  <c r="P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S92" i="7"/>
  <c r="R92" i="7"/>
  <c r="L92" i="7"/>
  <c r="K92" i="7"/>
  <c r="G92" i="7"/>
  <c r="H92" i="7" s="1"/>
  <c r="C92" i="7"/>
  <c r="S91" i="7"/>
  <c r="R91" i="7"/>
  <c r="L91" i="7"/>
  <c r="K91" i="7"/>
  <c r="G91" i="7"/>
  <c r="C91" i="7"/>
  <c r="S90" i="7"/>
  <c r="R90" i="7"/>
  <c r="L90" i="7"/>
  <c r="K90" i="7"/>
  <c r="G90" i="7"/>
  <c r="H90" i="7" s="1"/>
  <c r="C90" i="7"/>
  <c r="S89" i="7"/>
  <c r="R89" i="7"/>
  <c r="L89" i="7"/>
  <c r="K89" i="7"/>
  <c r="G89" i="7"/>
  <c r="H89" i="7" s="1"/>
  <c r="C89" i="7"/>
  <c r="S88" i="7"/>
  <c r="R88" i="7"/>
  <c r="L88" i="7"/>
  <c r="K88" i="7"/>
  <c r="G88" i="7"/>
  <c r="H88" i="7" s="1"/>
  <c r="C88" i="7"/>
  <c r="S87" i="7"/>
  <c r="R87" i="7"/>
  <c r="L87" i="7"/>
  <c r="K87" i="7"/>
  <c r="G87" i="7"/>
  <c r="H87" i="7" s="1"/>
  <c r="C87" i="7"/>
  <c r="S86" i="7"/>
  <c r="R86" i="7"/>
  <c r="L86" i="7"/>
  <c r="K86" i="7"/>
  <c r="G86" i="7"/>
  <c r="H86" i="7" s="1"/>
  <c r="C86" i="7"/>
  <c r="S85" i="7"/>
  <c r="R85" i="7"/>
  <c r="L85" i="7"/>
  <c r="K85" i="7"/>
  <c r="G85" i="7"/>
  <c r="C85" i="7"/>
  <c r="S84" i="7"/>
  <c r="R84" i="7"/>
  <c r="L84" i="7"/>
  <c r="K84" i="7"/>
  <c r="G84" i="7"/>
  <c r="H84" i="7" s="1"/>
  <c r="C84" i="7"/>
  <c r="S83" i="7"/>
  <c r="R83" i="7"/>
  <c r="L83" i="7"/>
  <c r="K83" i="7"/>
  <c r="G83" i="7"/>
  <c r="H83" i="7" s="1"/>
  <c r="C83" i="7"/>
  <c r="S82" i="7"/>
  <c r="R82" i="7"/>
  <c r="L82" i="7"/>
  <c r="K82" i="7"/>
  <c r="G82" i="7"/>
  <c r="H82" i="7" s="1"/>
  <c r="C82" i="7"/>
  <c r="S81" i="7"/>
  <c r="R81" i="7"/>
  <c r="L81" i="7"/>
  <c r="K81" i="7"/>
  <c r="G81" i="7"/>
  <c r="C81" i="7"/>
  <c r="S80" i="7"/>
  <c r="R80" i="7"/>
  <c r="L80" i="7"/>
  <c r="K80" i="7"/>
  <c r="G80" i="7"/>
  <c r="H80" i="7" s="1"/>
  <c r="C80" i="7"/>
  <c r="S79" i="7"/>
  <c r="R79" i="7"/>
  <c r="L79" i="7"/>
  <c r="K79" i="7"/>
  <c r="G79" i="7"/>
  <c r="H79" i="7" s="1"/>
  <c r="C79" i="7"/>
  <c r="S78" i="7"/>
  <c r="R78" i="7"/>
  <c r="L78" i="7"/>
  <c r="K78" i="7"/>
  <c r="G78" i="7"/>
  <c r="H78" i="7" s="1"/>
  <c r="C78" i="7"/>
  <c r="S77" i="7"/>
  <c r="R77" i="7"/>
  <c r="L77" i="7"/>
  <c r="K77" i="7"/>
  <c r="G77" i="7"/>
  <c r="C77" i="7"/>
  <c r="S76" i="7"/>
  <c r="R76" i="7"/>
  <c r="L76" i="7"/>
  <c r="K76" i="7"/>
  <c r="G76" i="7"/>
  <c r="H76" i="7" s="1"/>
  <c r="C76" i="7"/>
  <c r="S75" i="7"/>
  <c r="R75" i="7"/>
  <c r="L75" i="7"/>
  <c r="K75" i="7"/>
  <c r="G75" i="7"/>
  <c r="H75" i="7" s="1"/>
  <c r="C75" i="7"/>
  <c r="S74" i="7"/>
  <c r="R74" i="7"/>
  <c r="L74" i="7"/>
  <c r="K74" i="7"/>
  <c r="G74" i="7"/>
  <c r="H74" i="7" s="1"/>
  <c r="C74" i="7"/>
  <c r="S73" i="7"/>
  <c r="R73" i="7"/>
  <c r="L73" i="7"/>
  <c r="K73" i="7"/>
  <c r="G73" i="7"/>
  <c r="C73" i="7"/>
  <c r="S72" i="7"/>
  <c r="R72" i="7"/>
  <c r="L72" i="7"/>
  <c r="K72" i="7"/>
  <c r="G72" i="7"/>
  <c r="H72" i="7" s="1"/>
  <c r="C72" i="7"/>
  <c r="S71" i="7"/>
  <c r="R71" i="7"/>
  <c r="L71" i="7"/>
  <c r="K71" i="7"/>
  <c r="G71" i="7"/>
  <c r="C71" i="7"/>
  <c r="S70" i="7"/>
  <c r="R70" i="7"/>
  <c r="L70" i="7"/>
  <c r="K70" i="7"/>
  <c r="G70" i="7"/>
  <c r="H70" i="7" s="1"/>
  <c r="C70" i="7"/>
  <c r="S69" i="7"/>
  <c r="R69" i="7"/>
  <c r="L69" i="7"/>
  <c r="K69" i="7"/>
  <c r="G69" i="7"/>
  <c r="H69" i="7" s="1"/>
  <c r="C69" i="7"/>
  <c r="S68" i="7"/>
  <c r="R68" i="7"/>
  <c r="L68" i="7"/>
  <c r="K68" i="7"/>
  <c r="G68" i="7"/>
  <c r="H68" i="7" s="1"/>
  <c r="C68" i="7"/>
  <c r="S67" i="7"/>
  <c r="R67" i="7"/>
  <c r="L67" i="7"/>
  <c r="K67" i="7"/>
  <c r="G67" i="7"/>
  <c r="C67" i="7"/>
  <c r="S66" i="7"/>
  <c r="R66" i="7"/>
  <c r="L66" i="7"/>
  <c r="K66" i="7"/>
  <c r="G66" i="7"/>
  <c r="H66" i="7" s="1"/>
  <c r="C66" i="7"/>
  <c r="S65" i="7"/>
  <c r="R65" i="7"/>
  <c r="L65" i="7"/>
  <c r="K65" i="7"/>
  <c r="G65" i="7"/>
  <c r="H65" i="7" s="1"/>
  <c r="C65" i="7"/>
  <c r="S64" i="7"/>
  <c r="R64" i="7"/>
  <c r="L64" i="7"/>
  <c r="K64" i="7"/>
  <c r="G64" i="7"/>
  <c r="H64" i="7" s="1"/>
  <c r="C64" i="7"/>
  <c r="S63" i="7"/>
  <c r="R63" i="7"/>
  <c r="L63" i="7"/>
  <c r="K63" i="7"/>
  <c r="G63" i="7"/>
  <c r="C63" i="7"/>
  <c r="S62" i="7"/>
  <c r="R62" i="7"/>
  <c r="L62" i="7"/>
  <c r="K62" i="7"/>
  <c r="G62" i="7"/>
  <c r="H62" i="7" s="1"/>
  <c r="C62" i="7"/>
  <c r="S61" i="7"/>
  <c r="R61" i="7"/>
  <c r="L61" i="7"/>
  <c r="K61" i="7"/>
  <c r="G61" i="7"/>
  <c r="H61" i="7" s="1"/>
  <c r="C61" i="7"/>
  <c r="S60" i="7"/>
  <c r="R60" i="7"/>
  <c r="L60" i="7"/>
  <c r="K60" i="7"/>
  <c r="G60" i="7"/>
  <c r="H60" i="7" s="1"/>
  <c r="C60" i="7"/>
  <c r="S59" i="7"/>
  <c r="R59" i="7"/>
  <c r="L59" i="7"/>
  <c r="K59" i="7"/>
  <c r="G59" i="7"/>
  <c r="C59" i="7"/>
  <c r="S58" i="7"/>
  <c r="R58" i="7"/>
  <c r="L58" i="7"/>
  <c r="K58" i="7"/>
  <c r="G58" i="7"/>
  <c r="H58" i="7" s="1"/>
  <c r="C58" i="7"/>
  <c r="S57" i="7"/>
  <c r="R57" i="7"/>
  <c r="L57" i="7"/>
  <c r="K57" i="7"/>
  <c r="G57" i="7"/>
  <c r="H57" i="7" s="1"/>
  <c r="C57" i="7"/>
  <c r="S56" i="7"/>
  <c r="R56" i="7"/>
  <c r="L56" i="7"/>
  <c r="K56" i="7"/>
  <c r="G56" i="7"/>
  <c r="H56" i="7" s="1"/>
  <c r="C56" i="7"/>
  <c r="S55" i="7"/>
  <c r="R55" i="7"/>
  <c r="L55" i="7"/>
  <c r="K55" i="7"/>
  <c r="G55" i="7"/>
  <c r="C55" i="7"/>
  <c r="S54" i="7"/>
  <c r="R54" i="7"/>
  <c r="L54" i="7"/>
  <c r="K54" i="7"/>
  <c r="G54" i="7"/>
  <c r="H54" i="7" s="1"/>
  <c r="C54" i="7"/>
  <c r="S53" i="7"/>
  <c r="R53" i="7"/>
  <c r="L53" i="7"/>
  <c r="K53" i="7"/>
  <c r="G53" i="7"/>
  <c r="H53" i="7" s="1"/>
  <c r="C53" i="7"/>
  <c r="S52" i="7"/>
  <c r="R52" i="7"/>
  <c r="L52" i="7"/>
  <c r="K52" i="7"/>
  <c r="G52" i="7"/>
  <c r="H52" i="7" s="1"/>
  <c r="C52" i="7"/>
  <c r="S51" i="7"/>
  <c r="R51" i="7"/>
  <c r="L51" i="7"/>
  <c r="K51" i="7"/>
  <c r="G51" i="7"/>
  <c r="C51" i="7"/>
  <c r="S50" i="7"/>
  <c r="R50" i="7"/>
  <c r="L50" i="7"/>
  <c r="K50" i="7"/>
  <c r="G50" i="7"/>
  <c r="H50" i="7" s="1"/>
  <c r="C50" i="7"/>
  <c r="S49" i="7"/>
  <c r="R49" i="7"/>
  <c r="L49" i="7"/>
  <c r="K49" i="7"/>
  <c r="G49" i="7"/>
  <c r="H49" i="7" s="1"/>
  <c r="C49" i="7"/>
  <c r="S48" i="7"/>
  <c r="R48" i="7"/>
  <c r="L48" i="7"/>
  <c r="K48" i="7"/>
  <c r="G48" i="7"/>
  <c r="H48" i="7" s="1"/>
  <c r="C48" i="7"/>
  <c r="S47" i="7"/>
  <c r="R47" i="7"/>
  <c r="L47" i="7"/>
  <c r="K47" i="7"/>
  <c r="G47" i="7"/>
  <c r="C47" i="7"/>
  <c r="S46" i="7"/>
  <c r="R46" i="7"/>
  <c r="L46" i="7"/>
  <c r="K46" i="7"/>
  <c r="G46" i="7"/>
  <c r="H46" i="7" s="1"/>
  <c r="C46" i="7"/>
  <c r="S45" i="7"/>
  <c r="R45" i="7"/>
  <c r="L45" i="7"/>
  <c r="K45" i="7"/>
  <c r="G45" i="7"/>
  <c r="H45" i="7" s="1"/>
  <c r="C45" i="7"/>
  <c r="S44" i="7"/>
  <c r="R44" i="7"/>
  <c r="L44" i="7"/>
  <c r="K44" i="7"/>
  <c r="G44" i="7"/>
  <c r="H44" i="7" s="1"/>
  <c r="C44" i="7"/>
  <c r="S43" i="7"/>
  <c r="R43" i="7"/>
  <c r="L43" i="7"/>
  <c r="K43" i="7"/>
  <c r="G43" i="7"/>
  <c r="C43" i="7"/>
  <c r="S42" i="7"/>
  <c r="R42" i="7"/>
  <c r="L42" i="7"/>
  <c r="K42" i="7"/>
  <c r="G42" i="7"/>
  <c r="H42" i="7" s="1"/>
  <c r="C42" i="7"/>
  <c r="S41" i="7"/>
  <c r="R41" i="7"/>
  <c r="L41" i="7"/>
  <c r="K41" i="7"/>
  <c r="G41" i="7"/>
  <c r="H41" i="7" s="1"/>
  <c r="C41" i="7"/>
  <c r="S40" i="7"/>
  <c r="R40" i="7"/>
  <c r="L40" i="7"/>
  <c r="K40" i="7"/>
  <c r="G40" i="7"/>
  <c r="H40" i="7" s="1"/>
  <c r="C40" i="7"/>
  <c r="S39" i="7"/>
  <c r="R39" i="7"/>
  <c r="L39" i="7"/>
  <c r="K39" i="7"/>
  <c r="G39" i="7"/>
  <c r="C39" i="7"/>
  <c r="S38" i="7"/>
  <c r="R38" i="7"/>
  <c r="L38" i="7"/>
  <c r="K38" i="7"/>
  <c r="G38" i="7"/>
  <c r="H38" i="7" s="1"/>
  <c r="C38" i="7"/>
  <c r="S37" i="7"/>
  <c r="R37" i="7"/>
  <c r="L37" i="7"/>
  <c r="K37" i="7"/>
  <c r="G37" i="7"/>
  <c r="H37" i="7" s="1"/>
  <c r="C37" i="7"/>
  <c r="S36" i="7"/>
  <c r="R36" i="7"/>
  <c r="L36" i="7"/>
  <c r="K36" i="7"/>
  <c r="G36" i="7"/>
  <c r="H36" i="7" s="1"/>
  <c r="C36" i="7"/>
  <c r="S35" i="7"/>
  <c r="R35" i="7"/>
  <c r="L35" i="7"/>
  <c r="K35" i="7"/>
  <c r="G35" i="7"/>
  <c r="C35" i="7"/>
  <c r="S34" i="7"/>
  <c r="R34" i="7"/>
  <c r="L34" i="7"/>
  <c r="K34" i="7"/>
  <c r="G34" i="7"/>
  <c r="H34" i="7" s="1"/>
  <c r="C34" i="7"/>
  <c r="S33" i="7"/>
  <c r="R33" i="7"/>
  <c r="L33" i="7"/>
  <c r="K33" i="7"/>
  <c r="G33" i="7"/>
  <c r="H33" i="7" s="1"/>
  <c r="C33" i="7"/>
  <c r="S32" i="7"/>
  <c r="R32" i="7"/>
  <c r="L32" i="7"/>
  <c r="K32" i="7"/>
  <c r="G32" i="7"/>
  <c r="H32" i="7" s="1"/>
  <c r="C32" i="7"/>
  <c r="S31" i="7"/>
  <c r="R31" i="7"/>
  <c r="L31" i="7"/>
  <c r="K31" i="7"/>
  <c r="G31" i="7"/>
  <c r="C31" i="7"/>
  <c r="S30" i="7"/>
  <c r="R30" i="7"/>
  <c r="L30" i="7"/>
  <c r="K30" i="7"/>
  <c r="G30" i="7"/>
  <c r="H30" i="7" s="1"/>
  <c r="C30" i="7"/>
  <c r="S29" i="7"/>
  <c r="R29" i="7"/>
  <c r="L29" i="7"/>
  <c r="K29" i="7"/>
  <c r="G29" i="7"/>
  <c r="H29" i="7" s="1"/>
  <c r="C29" i="7"/>
  <c r="S28" i="7"/>
  <c r="R28" i="7"/>
  <c r="L28" i="7"/>
  <c r="K28" i="7"/>
  <c r="G28" i="7"/>
  <c r="H28" i="7" s="1"/>
  <c r="C28" i="7"/>
  <c r="S27" i="7"/>
  <c r="R27" i="7"/>
  <c r="L27" i="7"/>
  <c r="K27" i="7"/>
  <c r="G27" i="7"/>
  <c r="C27" i="7"/>
  <c r="S26" i="7"/>
  <c r="R26" i="7"/>
  <c r="L26" i="7"/>
  <c r="K26" i="7"/>
  <c r="G26" i="7"/>
  <c r="H26" i="7" s="1"/>
  <c r="C26" i="7"/>
  <c r="S25" i="7"/>
  <c r="R25" i="7"/>
  <c r="L25" i="7"/>
  <c r="K25" i="7"/>
  <c r="G25" i="7"/>
  <c r="H25" i="7" s="1"/>
  <c r="C25" i="7"/>
  <c r="S24" i="7"/>
  <c r="R24" i="7"/>
  <c r="L24" i="7"/>
  <c r="K24" i="7"/>
  <c r="G24" i="7"/>
  <c r="H24" i="7" s="1"/>
  <c r="C24" i="7"/>
  <c r="S23" i="7"/>
  <c r="R23" i="7"/>
  <c r="L23" i="7"/>
  <c r="K23" i="7"/>
  <c r="G23" i="7"/>
  <c r="C23" i="7"/>
  <c r="S22" i="7"/>
  <c r="R22" i="7"/>
  <c r="L22" i="7"/>
  <c r="K22" i="7"/>
  <c r="G22" i="7"/>
  <c r="H22" i="7" s="1"/>
  <c r="C22" i="7"/>
  <c r="S21" i="7"/>
  <c r="R21" i="7"/>
  <c r="L21" i="7"/>
  <c r="K21" i="7"/>
  <c r="G21" i="7"/>
  <c r="H21" i="7" s="1"/>
  <c r="C21" i="7"/>
  <c r="S20" i="7"/>
  <c r="R20" i="7"/>
  <c r="L20" i="7"/>
  <c r="K20" i="7"/>
  <c r="G20" i="7"/>
  <c r="H20" i="7" s="1"/>
  <c r="C20" i="7"/>
  <c r="S19" i="7"/>
  <c r="R19" i="7"/>
  <c r="L19" i="7"/>
  <c r="K19" i="7"/>
  <c r="G19" i="7"/>
  <c r="C19" i="7"/>
  <c r="S18" i="7"/>
  <c r="R18" i="7"/>
  <c r="L18" i="7"/>
  <c r="K18" i="7"/>
  <c r="G18" i="7"/>
  <c r="H18" i="7" s="1"/>
  <c r="C18" i="7"/>
  <c r="S17" i="7"/>
  <c r="R17" i="7"/>
  <c r="L17" i="7"/>
  <c r="K17" i="7"/>
  <c r="G17" i="7"/>
  <c r="H17" i="7" s="1"/>
  <c r="C17" i="7"/>
  <c r="S16" i="7"/>
  <c r="R16" i="7"/>
  <c r="L16" i="7"/>
  <c r="K16" i="7"/>
  <c r="G16" i="7"/>
  <c r="H16" i="7" s="1"/>
  <c r="C16" i="7"/>
  <c r="S15" i="7"/>
  <c r="R15" i="7"/>
  <c r="L15" i="7"/>
  <c r="K15" i="7"/>
  <c r="G15" i="7"/>
  <c r="H15" i="7" s="1"/>
  <c r="C15" i="7"/>
  <c r="S14" i="7"/>
  <c r="R14" i="7"/>
  <c r="L14" i="7"/>
  <c r="K14" i="7"/>
  <c r="G14" i="7"/>
  <c r="H14" i="7" s="1"/>
  <c r="C14" i="7"/>
  <c r="S13" i="7"/>
  <c r="R13" i="7"/>
  <c r="L13" i="7"/>
  <c r="K13" i="7"/>
  <c r="G13" i="7"/>
  <c r="C13" i="7"/>
  <c r="S12" i="7"/>
  <c r="R12" i="7"/>
  <c r="L12" i="7"/>
  <c r="K12" i="7"/>
  <c r="G12" i="7"/>
  <c r="H12" i="7" s="1"/>
  <c r="C12" i="7"/>
  <c r="S11" i="7"/>
  <c r="R11" i="7"/>
  <c r="L11" i="7"/>
  <c r="K11" i="7"/>
  <c r="G11" i="7"/>
  <c r="H11" i="7" s="1"/>
  <c r="C11" i="7"/>
  <c r="S10" i="7"/>
  <c r="R10" i="7"/>
  <c r="L10" i="7"/>
  <c r="K10" i="7"/>
  <c r="G10" i="7"/>
  <c r="H10" i="7" s="1"/>
  <c r="C10" i="7"/>
  <c r="S9" i="7"/>
  <c r="R9" i="7"/>
  <c r="L9" i="7"/>
  <c r="K9" i="7"/>
  <c r="G9" i="7"/>
  <c r="C9" i="7"/>
  <c r="S8" i="7"/>
  <c r="R8" i="7"/>
  <c r="L8" i="7"/>
  <c r="K8" i="7"/>
  <c r="G8" i="7"/>
  <c r="H8" i="7" s="1"/>
  <c r="C8" i="7"/>
  <c r="S7" i="7"/>
  <c r="R7" i="7"/>
  <c r="L7" i="7"/>
  <c r="K7" i="7"/>
  <c r="G7" i="7"/>
  <c r="H7" i="7" s="1"/>
  <c r="C7" i="7"/>
  <c r="S6" i="7"/>
  <c r="R6" i="7"/>
  <c r="L6" i="7"/>
  <c r="K6" i="7"/>
  <c r="G6" i="7"/>
  <c r="H6" i="7" s="1"/>
  <c r="C6" i="7"/>
  <c r="S5" i="7"/>
  <c r="R5" i="7"/>
  <c r="L5" i="7"/>
  <c r="K5" i="7"/>
  <c r="G5" i="7"/>
  <c r="C5" i="7"/>
  <c r="S4" i="7"/>
  <c r="R4" i="7"/>
  <c r="L4" i="7"/>
  <c r="K4" i="7"/>
  <c r="G4" i="7"/>
  <c r="H4" i="7" s="1"/>
  <c r="C4" i="7"/>
  <c r="S3" i="7"/>
  <c r="R3" i="7"/>
  <c r="L3" i="7"/>
  <c r="K3" i="7"/>
  <c r="G3" i="7"/>
  <c r="H3" i="7" s="1"/>
  <c r="C3" i="7"/>
  <c r="L2" i="7"/>
  <c r="K2" i="7"/>
  <c r="G2" i="7"/>
  <c r="H2" i="7" s="1"/>
  <c r="C2" i="7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X7" i="7"/>
  <c r="X6" i="7"/>
  <c r="X5" i="7"/>
  <c r="X4" i="7"/>
  <c r="W7" i="7"/>
  <c r="W6" i="7"/>
  <c r="W5" i="7"/>
  <c r="W4" i="7"/>
  <c r="V7" i="7"/>
  <c r="V6" i="7"/>
  <c r="V5" i="7"/>
  <c r="V4" i="7"/>
  <c r="X3" i="7"/>
  <c r="V3" i="7"/>
  <c r="W3" i="7"/>
  <c r="X2" i="7"/>
  <c r="W2" i="7"/>
  <c r="V2" i="7"/>
  <c r="K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G2" i="6"/>
  <c r="H2" i="6" s="1"/>
  <c r="G3" i="6"/>
  <c r="H3" i="6" s="1"/>
  <c r="G4" i="6"/>
  <c r="H4" i="6" s="1"/>
  <c r="G5" i="6"/>
  <c r="H5" i="6" s="1"/>
  <c r="G6" i="6"/>
  <c r="H6" i="6" s="1"/>
  <c r="G7" i="6"/>
  <c r="H7" i="6" s="1"/>
  <c r="G8" i="6"/>
  <c r="H8" i="6" s="1"/>
  <c r="G9" i="6"/>
  <c r="H9" i="6" s="1"/>
  <c r="G10" i="6"/>
  <c r="H10" i="6" s="1"/>
  <c r="G11" i="6"/>
  <c r="H11" i="6" s="1"/>
  <c r="G12" i="6"/>
  <c r="H12" i="6" s="1"/>
  <c r="G13" i="6"/>
  <c r="H13" i="6" s="1"/>
  <c r="G14" i="6"/>
  <c r="H14" i="6" s="1"/>
  <c r="G15" i="6"/>
  <c r="H15" i="6" s="1"/>
  <c r="G16" i="6"/>
  <c r="H16" i="6" s="1"/>
  <c r="G17" i="6"/>
  <c r="H17" i="6" s="1"/>
  <c r="G18" i="6"/>
  <c r="H18" i="6" s="1"/>
  <c r="G19" i="6"/>
  <c r="H19" i="6" s="1"/>
  <c r="G20" i="6"/>
  <c r="H20" i="6" s="1"/>
  <c r="G21" i="6"/>
  <c r="H21" i="6" s="1"/>
  <c r="G22" i="6"/>
  <c r="H22" i="6" s="1"/>
  <c r="G23" i="6"/>
  <c r="H23" i="6" s="1"/>
  <c r="G24" i="6"/>
  <c r="H24" i="6" s="1"/>
  <c r="G25" i="6"/>
  <c r="H25" i="6" s="1"/>
  <c r="G26" i="6"/>
  <c r="H26" i="6" s="1"/>
  <c r="G27" i="6"/>
  <c r="H27" i="6" s="1"/>
  <c r="G28" i="6"/>
  <c r="H28" i="6" s="1"/>
  <c r="G29" i="6"/>
  <c r="H29" i="6" s="1"/>
  <c r="G30" i="6"/>
  <c r="H30" i="6" s="1"/>
  <c r="G31" i="6"/>
  <c r="H31" i="6" s="1"/>
  <c r="G32" i="6"/>
  <c r="H32" i="6" s="1"/>
  <c r="G33" i="6"/>
  <c r="H33" i="6" s="1"/>
  <c r="G34" i="6"/>
  <c r="H34" i="6" s="1"/>
  <c r="G35" i="6"/>
  <c r="H35" i="6" s="1"/>
  <c r="G36" i="6"/>
  <c r="H36" i="6" s="1"/>
  <c r="G37" i="6"/>
  <c r="H37" i="6" s="1"/>
  <c r="G38" i="6"/>
  <c r="H38" i="6" s="1"/>
  <c r="G39" i="6"/>
  <c r="H39" i="6" s="1"/>
  <c r="G40" i="6"/>
  <c r="H40" i="6" s="1"/>
  <c r="G41" i="6"/>
  <c r="H41" i="6" s="1"/>
  <c r="G42" i="6"/>
  <c r="H42" i="6" s="1"/>
  <c r="G43" i="6"/>
  <c r="H43" i="6" s="1"/>
  <c r="G44" i="6"/>
  <c r="H44" i="6" s="1"/>
  <c r="G45" i="6"/>
  <c r="H45" i="6" s="1"/>
  <c r="G46" i="6"/>
  <c r="H46" i="6" s="1"/>
  <c r="G47" i="6"/>
  <c r="H47" i="6" s="1"/>
  <c r="G48" i="6"/>
  <c r="H48" i="6" s="1"/>
  <c r="G49" i="6"/>
  <c r="H49" i="6" s="1"/>
  <c r="G50" i="6"/>
  <c r="H50" i="6" s="1"/>
  <c r="G51" i="6"/>
  <c r="H51" i="6" s="1"/>
  <c r="G52" i="6"/>
  <c r="H52" i="6" s="1"/>
  <c r="G53" i="6"/>
  <c r="H53" i="6" s="1"/>
  <c r="G54" i="6"/>
  <c r="H54" i="6" s="1"/>
  <c r="G55" i="6"/>
  <c r="H55" i="6" s="1"/>
  <c r="G56" i="6"/>
  <c r="H56" i="6" s="1"/>
  <c r="G57" i="6"/>
  <c r="H57" i="6" s="1"/>
  <c r="G58" i="6"/>
  <c r="H58" i="6" s="1"/>
  <c r="G59" i="6"/>
  <c r="H59" i="6" s="1"/>
  <c r="G60" i="6"/>
  <c r="H60" i="6" s="1"/>
  <c r="G61" i="6"/>
  <c r="H61" i="6" s="1"/>
  <c r="G62" i="6"/>
  <c r="H62" i="6" s="1"/>
  <c r="G63" i="6"/>
  <c r="H63" i="6" s="1"/>
  <c r="G64" i="6"/>
  <c r="H64" i="6" s="1"/>
  <c r="G65" i="6"/>
  <c r="H65" i="6" s="1"/>
  <c r="G66" i="6"/>
  <c r="H66" i="6" s="1"/>
  <c r="G67" i="6"/>
  <c r="H67" i="6" s="1"/>
  <c r="G68" i="6"/>
  <c r="H68" i="6" s="1"/>
  <c r="G69" i="6"/>
  <c r="H69" i="6" s="1"/>
  <c r="G70" i="6"/>
  <c r="H70" i="6" s="1"/>
  <c r="G71" i="6"/>
  <c r="H71" i="6" s="1"/>
  <c r="G72" i="6"/>
  <c r="H72" i="6" s="1"/>
  <c r="G73" i="6"/>
  <c r="H73" i="6" s="1"/>
  <c r="G74" i="6"/>
  <c r="H74" i="6" s="1"/>
  <c r="G75" i="6"/>
  <c r="H75" i="6" s="1"/>
  <c r="G76" i="6"/>
  <c r="H76" i="6" s="1"/>
  <c r="G77" i="6"/>
  <c r="H77" i="6" s="1"/>
  <c r="G78" i="6"/>
  <c r="H78" i="6" s="1"/>
  <c r="G79" i="6"/>
  <c r="H79" i="6" s="1"/>
  <c r="G80" i="6"/>
  <c r="H80" i="6" s="1"/>
  <c r="G81" i="6"/>
  <c r="H81" i="6" s="1"/>
  <c r="G82" i="6"/>
  <c r="H82" i="6" s="1"/>
  <c r="G83" i="6"/>
  <c r="H83" i="6" s="1"/>
  <c r="G84" i="6"/>
  <c r="H84" i="6" s="1"/>
  <c r="G85" i="6"/>
  <c r="H85" i="6" s="1"/>
  <c r="G86" i="6"/>
  <c r="H86" i="6" s="1"/>
  <c r="G87" i="6"/>
  <c r="H87" i="6" s="1"/>
  <c r="G88" i="6"/>
  <c r="H88" i="6" s="1"/>
  <c r="G89" i="6"/>
  <c r="H89" i="6" s="1"/>
  <c r="G90" i="6"/>
  <c r="H90" i="6" s="1"/>
  <c r="G91" i="6"/>
  <c r="H91" i="6" s="1"/>
  <c r="G92" i="6"/>
  <c r="H92" i="6" s="1"/>
  <c r="L49" i="6" l="1"/>
  <c r="L17" i="6"/>
  <c r="L48" i="6"/>
  <c r="L16" i="6"/>
  <c r="L41" i="6"/>
  <c r="L9" i="6"/>
  <c r="L88" i="6"/>
  <c r="L40" i="6"/>
  <c r="L8" i="6"/>
  <c r="L80" i="6"/>
  <c r="L33" i="6"/>
  <c r="L72" i="6"/>
  <c r="L32" i="6"/>
  <c r="L64" i="6"/>
  <c r="L25" i="6"/>
  <c r="L56" i="6"/>
  <c r="L24" i="6"/>
  <c r="L87" i="6"/>
  <c r="L79" i="6"/>
  <c r="L71" i="6"/>
  <c r="L63" i="6"/>
  <c r="L55" i="6"/>
  <c r="L47" i="6"/>
  <c r="L39" i="6"/>
  <c r="L31" i="6"/>
  <c r="L23" i="6"/>
  <c r="L15" i="6"/>
  <c r="L7" i="6"/>
  <c r="L86" i="6"/>
  <c r="L78" i="6"/>
  <c r="L70" i="6"/>
  <c r="L62" i="6"/>
  <c r="L54" i="6"/>
  <c r="L46" i="6"/>
  <c r="L38" i="6"/>
  <c r="L30" i="6"/>
  <c r="L22" i="6"/>
  <c r="L14" i="6"/>
  <c r="L6" i="6"/>
  <c r="L85" i="6"/>
  <c r="L77" i="6"/>
  <c r="L69" i="6"/>
  <c r="L61" i="6"/>
  <c r="L53" i="6"/>
  <c r="L45" i="6"/>
  <c r="L37" i="6"/>
  <c r="L29" i="6"/>
  <c r="L21" i="6"/>
  <c r="L13" i="6"/>
  <c r="L5" i="6"/>
  <c r="L92" i="6"/>
  <c r="L84" i="6"/>
  <c r="L76" i="6"/>
  <c r="L68" i="6"/>
  <c r="L60" i="6"/>
  <c r="L52" i="6"/>
  <c r="L44" i="6"/>
  <c r="L36" i="6"/>
  <c r="L28" i="6"/>
  <c r="L20" i="6"/>
  <c r="L12" i="6"/>
  <c r="L4" i="6"/>
  <c r="L89" i="6"/>
  <c r="L81" i="6"/>
  <c r="L73" i="6"/>
  <c r="L65" i="6"/>
  <c r="L57" i="6"/>
  <c r="L91" i="6"/>
  <c r="L83" i="6"/>
  <c r="L75" i="6"/>
  <c r="L67" i="6"/>
  <c r="L59" i="6"/>
  <c r="L51" i="6"/>
  <c r="L43" i="6"/>
  <c r="L35" i="6"/>
  <c r="L27" i="6"/>
  <c r="L19" i="6"/>
  <c r="L11" i="6"/>
  <c r="L3" i="6"/>
  <c r="L90" i="6"/>
  <c r="L82" i="6"/>
  <c r="L74" i="6"/>
  <c r="L66" i="6"/>
  <c r="L58" i="6"/>
  <c r="L50" i="6"/>
  <c r="L42" i="6"/>
  <c r="L34" i="6"/>
  <c r="L26" i="6"/>
  <c r="L18" i="6"/>
  <c r="L10" i="6"/>
  <c r="L2" i="6"/>
  <c r="H5" i="7"/>
  <c r="H9" i="7"/>
  <c r="H13" i="7"/>
  <c r="H19" i="7"/>
  <c r="H23" i="7"/>
  <c r="H27" i="7"/>
  <c r="H31" i="7"/>
  <c r="H35" i="7"/>
  <c r="H39" i="7"/>
  <c r="H43" i="7"/>
  <c r="H47" i="7"/>
  <c r="H51" i="7"/>
  <c r="H55" i="7"/>
  <c r="H59" i="7"/>
  <c r="H63" i="7"/>
  <c r="H67" i="7"/>
  <c r="H71" i="7"/>
  <c r="H73" i="7"/>
  <c r="H77" i="7"/>
  <c r="H81" i="7"/>
  <c r="H85" i="7"/>
  <c r="H91" i="7"/>
  <c r="Y2" i="7"/>
  <c r="Y4" i="7"/>
  <c r="Y5" i="7"/>
  <c r="Y6" i="7"/>
  <c r="Y3" i="7"/>
  <c r="Y7" i="7"/>
</calcChain>
</file>

<file path=xl/sharedStrings.xml><?xml version="1.0" encoding="utf-8"?>
<sst xmlns="http://schemas.openxmlformats.org/spreadsheetml/2006/main" count="831" uniqueCount="168">
  <si>
    <t>DATE</t>
  </si>
  <si>
    <t>TIME PERIOD</t>
  </si>
  <si>
    <t>Deposit facility - date of changes (raw data) - Level (FM.D.U2.EUR.4F.KR.DFR.LEV)</t>
  </si>
  <si>
    <t>Marginal lending facility - date of changes (raw data) - Level (FM.D.U2.EUR.4F.KR.MLFR.LEV)</t>
  </si>
  <si>
    <t>Main refinancing operations - Minimum bid rate/fixed rate (date of changes) - Level (FM.D.U2.EUR.4F.KR.MRR_RT.LEV)</t>
  </si>
  <si>
    <t>Bank business volumes - loans to corporations (pure new loans)  (MIR.M.DE.B.A2A.A.B.A.2240.EUR.P)</t>
  </si>
  <si>
    <t>2019Jan</t>
  </si>
  <si>
    <t>2019Feb</t>
  </si>
  <si>
    <t>2019Mar</t>
  </si>
  <si>
    <t>2019Apr</t>
  </si>
  <si>
    <t>2019May</t>
  </si>
  <si>
    <t>2019Jun</t>
  </si>
  <si>
    <t>2019Jul</t>
  </si>
  <si>
    <t>2019Aug</t>
  </si>
  <si>
    <t>2019Sep</t>
  </si>
  <si>
    <t>2019Oct</t>
  </si>
  <si>
    <t>2019Nov</t>
  </si>
  <si>
    <t>2019Dec</t>
  </si>
  <si>
    <t>2020Jan</t>
  </si>
  <si>
    <t>2020Feb</t>
  </si>
  <si>
    <t>2020Mar</t>
  </si>
  <si>
    <t>2020Apr</t>
  </si>
  <si>
    <t>2020May</t>
  </si>
  <si>
    <t>2020Jun</t>
  </si>
  <si>
    <t>2020Jul</t>
  </si>
  <si>
    <t>2020Aug</t>
  </si>
  <si>
    <t>2020Sep</t>
  </si>
  <si>
    <t>2020Oct</t>
  </si>
  <si>
    <t>2020Nov</t>
  </si>
  <si>
    <t>2020Dec</t>
  </si>
  <si>
    <t>2021Jan</t>
  </si>
  <si>
    <t>2021Feb</t>
  </si>
  <si>
    <t>2021Mar</t>
  </si>
  <si>
    <t>2021Apr</t>
  </si>
  <si>
    <t>2021May</t>
  </si>
  <si>
    <t>2021Jun</t>
  </si>
  <si>
    <t>2021Jul</t>
  </si>
  <si>
    <t>2021Aug</t>
  </si>
  <si>
    <t>2021Sep</t>
  </si>
  <si>
    <t>2021Oct</t>
  </si>
  <si>
    <t>2021Nov</t>
  </si>
  <si>
    <t>2021Dec</t>
  </si>
  <si>
    <t>2022Jan</t>
  </si>
  <si>
    <t>2022Feb</t>
  </si>
  <si>
    <t>2022Mar</t>
  </si>
  <si>
    <t>2022Apr</t>
  </si>
  <si>
    <t>2022May</t>
  </si>
  <si>
    <t>2022Jun</t>
  </si>
  <si>
    <t>2022Jul</t>
  </si>
  <si>
    <t>2022Aug</t>
  </si>
  <si>
    <t>2022Sep</t>
  </si>
  <si>
    <t>2022Oct</t>
  </si>
  <si>
    <t>2022Nov</t>
  </si>
  <si>
    <t>2022Dec</t>
  </si>
  <si>
    <t>2023Jan</t>
  </si>
  <si>
    <t>2023Feb</t>
  </si>
  <si>
    <t>2023Mar</t>
  </si>
  <si>
    <t>2023Apr</t>
  </si>
  <si>
    <t>2023May</t>
  </si>
  <si>
    <t>2023Jun</t>
  </si>
  <si>
    <t>2023Jul</t>
  </si>
  <si>
    <t>2023Aug</t>
  </si>
  <si>
    <t>2023Sep</t>
  </si>
  <si>
    <t>2023Oct</t>
  </si>
  <si>
    <t>2023Nov</t>
  </si>
  <si>
    <t>2023Dec</t>
  </si>
  <si>
    <t>2024Jan</t>
  </si>
  <si>
    <t>2024Feb</t>
  </si>
  <si>
    <t>2024Mar</t>
  </si>
  <si>
    <t>2024Apr</t>
  </si>
  <si>
    <t>2024May</t>
  </si>
  <si>
    <t>2024Jun</t>
  </si>
  <si>
    <t>2024Jul</t>
  </si>
  <si>
    <t>2024Aug</t>
  </si>
  <si>
    <t>2024Sep</t>
  </si>
  <si>
    <t>2024Oct</t>
  </si>
  <si>
    <t>2024Nov</t>
  </si>
  <si>
    <t>2024Dec</t>
  </si>
  <si>
    <t>2025Jan</t>
  </si>
  <si>
    <t>2025Feb</t>
  </si>
  <si>
    <t>2025Mar</t>
  </si>
  <si>
    <t>2025Apr</t>
  </si>
  <si>
    <t>2025May</t>
  </si>
  <si>
    <t>2025Jun</t>
  </si>
  <si>
    <t>2025Jul</t>
  </si>
  <si>
    <t>2025Aug</t>
  </si>
  <si>
    <t>2025Sep</t>
  </si>
  <si>
    <t>2025Oct</t>
  </si>
  <si>
    <t>2025Nov</t>
  </si>
  <si>
    <t>2025Dec</t>
  </si>
  <si>
    <t>2026Jan</t>
  </si>
  <si>
    <t>2026Feb</t>
  </si>
  <si>
    <t>2026Mar</t>
  </si>
  <si>
    <t>2026Apr</t>
  </si>
  <si>
    <t>2026May</t>
  </si>
  <si>
    <t>2026Jun</t>
  </si>
  <si>
    <t>2026Jul</t>
  </si>
  <si>
    <t>Loans to euro area NFCs granted by MFIs excluding NCB, Stocks (BSI.M.DE.N.A.A20.A.1.U2.2240.Z01.E)</t>
  </si>
  <si>
    <t>Bank interest rates - loans to corporations (pure new loans)  (MIR.M.DE.B.A2A.A.R.A.2240.EUR.P)</t>
  </si>
  <si>
    <t>TIME_PERIOD</t>
  </si>
  <si>
    <t>Corporate_Loan_Rate</t>
  </si>
  <si>
    <t>New_Loan_Volume</t>
  </si>
  <si>
    <t>Loan_Stock</t>
  </si>
  <si>
    <t>ECB_DFR</t>
  </si>
  <si>
    <t>Lending_Spread</t>
  </si>
  <si>
    <t>New_Loan_Volume_YoY</t>
  </si>
  <si>
    <t>New_Loan_Volume_3M_Avg</t>
  </si>
  <si>
    <t>Duplicate_Check</t>
  </si>
  <si>
    <t>Metric</t>
  </si>
  <si>
    <t>New Loan Volume</t>
  </si>
  <si>
    <t>Count</t>
  </si>
  <si>
    <t>Mean</t>
  </si>
  <si>
    <t>Median</t>
  </si>
  <si>
    <t>Minimum</t>
  </si>
  <si>
    <t>Maximum</t>
  </si>
  <si>
    <t>Std. deviation</t>
  </si>
  <si>
    <t>Year</t>
  </si>
  <si>
    <t>Grand Total</t>
  </si>
  <si>
    <t>Average of ECB_DFR</t>
  </si>
  <si>
    <t>Average of Corporate_Loan_Rate</t>
  </si>
  <si>
    <t>Average of Lending_Spread</t>
  </si>
  <si>
    <t>Average of New_Loan_Volume</t>
  </si>
  <si>
    <t>Average of New_Loan_Volume_YoY</t>
  </si>
  <si>
    <t>2019</t>
  </si>
  <si>
    <t>2020</t>
  </si>
  <si>
    <t>2021</t>
  </si>
  <si>
    <t>2022</t>
  </si>
  <si>
    <t>2023</t>
  </si>
  <si>
    <t>2024</t>
  </si>
  <si>
    <t>2025</t>
  </si>
  <si>
    <t>2026</t>
  </si>
  <si>
    <t>ECB_DFR_Monthly_Change</t>
  </si>
  <si>
    <t>Loan_Stock _Growth_YoY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</si>
  <si>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</si>
  <si>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</si>
  <si>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</si>
  <si>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</si>
  <si>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</si>
  <si>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</si>
  <si>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</si>
  <si>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</si>
  <si>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</si>
  <si>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</si>
  <si>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</si>
  <si>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</si>
  <si>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Missing_Corporate_Loan_Rate</t>
  </si>
  <si>
    <t>Missing_New_Loan_Volume</t>
  </si>
  <si>
    <t>Missing_Loan_Stock</t>
  </si>
  <si>
    <t>Missing_ECB_DFR</t>
  </si>
  <si>
    <t>Monthly_Continuity</t>
  </si>
  <si>
    <t>Corr(Corporate_Loan_Rate,ECB_DFR)</t>
  </si>
  <si>
    <t>3M Moving Average</t>
  </si>
  <si>
    <t>Month</t>
  </si>
  <si>
    <t>Corporate Loan Rate</t>
  </si>
  <si>
    <t>ECB DFR</t>
  </si>
  <si>
    <t>Loan Stock Growth YoY</t>
  </si>
  <si>
    <t>New Loan Volume YoY</t>
  </si>
  <si>
    <t>Policy_Regime</t>
  </si>
  <si>
    <t>Negative Rate</t>
  </si>
  <si>
    <t>Positive Rate</t>
  </si>
  <si>
    <t>Zero Rate</t>
  </si>
  <si>
    <t>Average corporate loan rate (%)</t>
  </si>
  <si>
    <t>Policy Regime</t>
  </si>
  <si>
    <t>Average monthly new loan volume</t>
  </si>
  <si>
    <t>Average of Loan_Stock</t>
  </si>
  <si>
    <t>Average of Loan_Stock _Growth_YoY</t>
  </si>
  <si>
    <t>Negative_New_Loan_Volume_Check</t>
  </si>
  <si>
    <t>Negative_New_Loan_Volume_Check2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</si>
</sst>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15" fontId="0" fillId="0" borderId="0" xfId="0" applyNumberFormat="1"/>
    <xf numFmtId="11" fontId="0" fillId="0" borderId="0" xfId="0" applyNumberFormat="1"/>
    <xf numFmtId="2" fontId="0" fillId="0" borderId="0" xfId="0" applyNumberFormat="1"/>
    <xf numFmtId="10" fontId="0" fillId="0" borderId="0" xfId="1" applyNumberFormat="1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left" indent="1"/>
    </xf>
    <xf numFmtId="10" fontId="0" fillId="0" borderId="0" xfId="0" applyNumberFormat="1"/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48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19" formatCode="m/d/yyyy"/>
    </dxf>
    <dxf>
      <numFmt numFmtId="19" formatCode="m/d/yyyy"/>
    </dxf>
    <dxf>
      <numFmt numFmtId="19" formatCode="m/d/yyyy"/>
    </dxf>
    <dxf>
      <numFmt numFmtId="2" formatCode="0.00"/>
    </dxf>
    <dxf>
      <numFmt numFmtId="20" formatCode="d\-mmm\-yy"/>
    </dxf>
    <dxf>
      <numFmt numFmtId="19" formatCode="m/d/yyyy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19" formatCode="m/d/yyyy"/>
    </dxf>
    <dxf>
      <numFmt numFmtId="2" formatCode="0.00"/>
      <alignment horizontal="right" vertical="center" textRotation="0" wrapText="1" indent="0" justifyLastLine="0" shrinkToFit="0" readingOrder="0"/>
    </dxf>
    <dxf>
      <numFmt numFmtId="2" formatCode="0.00"/>
      <alignment horizontal="right" vertical="center" textRotation="0" wrapText="1" indent="0" justifyLastLine="0" shrinkToFit="0" readingOrder="0"/>
    </dxf>
    <dxf>
      <numFmt numFmtId="2" formatCode="0.00"/>
      <alignment horizontal="right" vertical="center" textRotation="0" wrapText="1" indent="0" justifyLastLine="0" shrinkToFit="0" readingOrder="0"/>
    </dxf>
    <dxf>
      <numFmt numFmtId="2" formatCode="0.00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19" formatCode="m/d/yyyy"/>
    </dxf>
  </dxfs>
  <tableStyles count="0" defaultTableStyle="TableStyleMedium2" defaultPivotStyle="PivotStyleLight16"/>
  <colors>
    <mruColors>
      <color rgb="FFEF396D"/>
      <color rgb="FF8A0E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[ECB Corporate Loans.xlsx]01_Rates!PivotTable3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>
                <a:effectLst/>
              </a:rPr>
              <a:t>ECB Deposit Facility Rate vs German Corporate Loan Rate</a:t>
            </a:r>
            <a:endParaRPr lang="en-US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1973750790214364E-2"/>
          <c:y val="8.0104205937225101E-2"/>
          <c:w val="0.76185908749870812"/>
          <c:h val="0.86772580369715191"/>
        </c:manualLayout>
      </c:layout>
      <c:lineChart>
        <c:grouping val="standard"/>
        <c:varyColors val="0"/>
        <c:ser>
          <c:idx val="0"/>
          <c:order val="0"/>
          <c:tx>
            <c:strRef>
              <c:f>'01_Rates'!$B$3</c:f>
              <c:strCache>
                <c:ptCount val="1"/>
                <c:pt idx="0">
                  <c:v>Corporate Loan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'01_Rates'!$A$4:$A$103</c:f>
              <c:multiLvlStrCache>
                <c:ptCount val="91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  <c:pt idx="48">
                    <c:v>Jan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Apr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Aug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Dec</c:v>
                  </c:pt>
                  <c:pt idx="60">
                    <c:v>Jan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Apr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Aug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Dec</c:v>
                  </c:pt>
                  <c:pt idx="72">
                    <c:v>Jan</c:v>
                  </c:pt>
                  <c:pt idx="73">
                    <c:v>Feb</c:v>
                  </c:pt>
                  <c:pt idx="74">
                    <c:v>Mar</c:v>
                  </c:pt>
                  <c:pt idx="75">
                    <c:v>Apr</c:v>
                  </c:pt>
                  <c:pt idx="76">
                    <c:v>May</c:v>
                  </c:pt>
                  <c:pt idx="77">
                    <c:v>Jun</c:v>
                  </c:pt>
                  <c:pt idx="78">
                    <c:v>Jul</c:v>
                  </c:pt>
                  <c:pt idx="79">
                    <c:v>Aug</c:v>
                  </c:pt>
                  <c:pt idx="80">
                    <c:v>Sep</c:v>
                  </c:pt>
                  <c:pt idx="81">
                    <c:v>Oct</c:v>
                  </c:pt>
                  <c:pt idx="82">
                    <c:v>Nov</c:v>
                  </c:pt>
                  <c:pt idx="83">
                    <c:v>Dec</c:v>
                  </c:pt>
                  <c:pt idx="84">
                    <c:v>Jan</c:v>
                  </c:pt>
                  <c:pt idx="85">
                    <c:v>Feb</c:v>
                  </c:pt>
                  <c:pt idx="86">
                    <c:v>Mar</c:v>
                  </c:pt>
                  <c:pt idx="87">
                    <c:v>Apr</c:v>
                  </c:pt>
                  <c:pt idx="88">
                    <c:v>May</c:v>
                  </c:pt>
                  <c:pt idx="89">
                    <c:v>Jun</c:v>
                  </c:pt>
                  <c:pt idx="90">
                    <c:v>Jul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  <c:pt idx="48">
                    <c:v>2023</c:v>
                  </c:pt>
                  <c:pt idx="60">
                    <c:v>2024</c:v>
                  </c:pt>
                  <c:pt idx="72">
                    <c:v>2025</c:v>
                  </c:pt>
                  <c:pt idx="84">
                    <c:v>2026</c:v>
                  </c:pt>
                </c:lvl>
              </c:multiLvlStrCache>
            </c:multiLvlStrRef>
          </c:cat>
          <c:val>
            <c:numRef>
              <c:f>'01_Rates'!$B$4:$B$103</c:f>
              <c:numCache>
                <c:formatCode>0.00</c:formatCode>
                <c:ptCount val="91"/>
                <c:pt idx="0">
                  <c:v>1.17</c:v>
                </c:pt>
                <c:pt idx="1">
                  <c:v>1.18</c:v>
                </c:pt>
                <c:pt idx="2">
                  <c:v>1.24</c:v>
                </c:pt>
                <c:pt idx="3">
                  <c:v>1.1499999999999999</c:v>
                </c:pt>
                <c:pt idx="4">
                  <c:v>1.1299999999999999</c:v>
                </c:pt>
                <c:pt idx="5">
                  <c:v>1.1399999999999999</c:v>
                </c:pt>
                <c:pt idx="6">
                  <c:v>1.1399999999999999</c:v>
                </c:pt>
                <c:pt idx="7">
                  <c:v>1.06</c:v>
                </c:pt>
                <c:pt idx="8">
                  <c:v>1.1399999999999999</c:v>
                </c:pt>
                <c:pt idx="9">
                  <c:v>1.18</c:v>
                </c:pt>
                <c:pt idx="10">
                  <c:v>1.25</c:v>
                </c:pt>
                <c:pt idx="11">
                  <c:v>1.25</c:v>
                </c:pt>
                <c:pt idx="12">
                  <c:v>1.19</c:v>
                </c:pt>
                <c:pt idx="13">
                  <c:v>1.1299999999999999</c:v>
                </c:pt>
                <c:pt idx="14">
                  <c:v>1.1200000000000001</c:v>
                </c:pt>
                <c:pt idx="15">
                  <c:v>1.27</c:v>
                </c:pt>
                <c:pt idx="16">
                  <c:v>1.33</c:v>
                </c:pt>
                <c:pt idx="17">
                  <c:v>1.32</c:v>
                </c:pt>
                <c:pt idx="18">
                  <c:v>1.43</c:v>
                </c:pt>
                <c:pt idx="19">
                  <c:v>1.58</c:v>
                </c:pt>
                <c:pt idx="20">
                  <c:v>1.31</c:v>
                </c:pt>
                <c:pt idx="21">
                  <c:v>1.37</c:v>
                </c:pt>
                <c:pt idx="22">
                  <c:v>1.38</c:v>
                </c:pt>
                <c:pt idx="23">
                  <c:v>1.31</c:v>
                </c:pt>
                <c:pt idx="24">
                  <c:v>1.29</c:v>
                </c:pt>
                <c:pt idx="25">
                  <c:v>1.3</c:v>
                </c:pt>
                <c:pt idx="26">
                  <c:v>0.94</c:v>
                </c:pt>
                <c:pt idx="27">
                  <c:v>1.5</c:v>
                </c:pt>
                <c:pt idx="28">
                  <c:v>1.25</c:v>
                </c:pt>
                <c:pt idx="29">
                  <c:v>1.27</c:v>
                </c:pt>
                <c:pt idx="30">
                  <c:v>1.32</c:v>
                </c:pt>
                <c:pt idx="31">
                  <c:v>1.23</c:v>
                </c:pt>
                <c:pt idx="32">
                  <c:v>1.38</c:v>
                </c:pt>
                <c:pt idx="33">
                  <c:v>1.1599999999999999</c:v>
                </c:pt>
                <c:pt idx="34">
                  <c:v>1.1299999999999999</c:v>
                </c:pt>
                <c:pt idx="35">
                  <c:v>1.1499999999999999</c:v>
                </c:pt>
                <c:pt idx="36">
                  <c:v>1.3</c:v>
                </c:pt>
                <c:pt idx="37">
                  <c:v>1.36</c:v>
                </c:pt>
                <c:pt idx="38">
                  <c:v>1.55</c:v>
                </c:pt>
                <c:pt idx="39">
                  <c:v>1.53</c:v>
                </c:pt>
                <c:pt idx="40">
                  <c:v>1.41</c:v>
                </c:pt>
                <c:pt idx="41">
                  <c:v>2.37</c:v>
                </c:pt>
                <c:pt idx="42">
                  <c:v>1.94</c:v>
                </c:pt>
                <c:pt idx="43">
                  <c:v>2.1</c:v>
                </c:pt>
                <c:pt idx="44">
                  <c:v>2.85</c:v>
                </c:pt>
                <c:pt idx="45">
                  <c:v>2.97</c:v>
                </c:pt>
                <c:pt idx="46">
                  <c:v>3.14</c:v>
                </c:pt>
                <c:pt idx="47">
                  <c:v>3.46</c:v>
                </c:pt>
                <c:pt idx="48">
                  <c:v>3.56</c:v>
                </c:pt>
                <c:pt idx="49">
                  <c:v>3.89</c:v>
                </c:pt>
                <c:pt idx="50">
                  <c:v>4.43</c:v>
                </c:pt>
                <c:pt idx="51">
                  <c:v>4.4400000000000004</c:v>
                </c:pt>
                <c:pt idx="52">
                  <c:v>4.66</c:v>
                </c:pt>
                <c:pt idx="53">
                  <c:v>4.87</c:v>
                </c:pt>
                <c:pt idx="54">
                  <c:v>5.15</c:v>
                </c:pt>
                <c:pt idx="55">
                  <c:v>5.09</c:v>
                </c:pt>
                <c:pt idx="56">
                  <c:v>5.09</c:v>
                </c:pt>
                <c:pt idx="57">
                  <c:v>5.45</c:v>
                </c:pt>
                <c:pt idx="58">
                  <c:v>5.13</c:v>
                </c:pt>
                <c:pt idx="59">
                  <c:v>5.13</c:v>
                </c:pt>
                <c:pt idx="60">
                  <c:v>5.07</c:v>
                </c:pt>
                <c:pt idx="61">
                  <c:v>4.95</c:v>
                </c:pt>
                <c:pt idx="62">
                  <c:v>5.1100000000000003</c:v>
                </c:pt>
                <c:pt idx="63">
                  <c:v>5.13</c:v>
                </c:pt>
                <c:pt idx="64">
                  <c:v>5.04</c:v>
                </c:pt>
                <c:pt idx="65">
                  <c:v>5.03</c:v>
                </c:pt>
                <c:pt idx="66">
                  <c:v>4.93</c:v>
                </c:pt>
                <c:pt idx="67">
                  <c:v>5.03</c:v>
                </c:pt>
                <c:pt idx="68">
                  <c:v>4.6100000000000003</c:v>
                </c:pt>
                <c:pt idx="69">
                  <c:v>4.63</c:v>
                </c:pt>
                <c:pt idx="70">
                  <c:v>4.3899999999999997</c:v>
                </c:pt>
                <c:pt idx="71">
                  <c:v>4.24</c:v>
                </c:pt>
                <c:pt idx="72">
                  <c:v>4.24</c:v>
                </c:pt>
                <c:pt idx="73">
                  <c:v>4.09</c:v>
                </c:pt>
                <c:pt idx="74">
                  <c:v>3.66</c:v>
                </c:pt>
                <c:pt idx="75">
                  <c:v>3.57</c:v>
                </c:pt>
                <c:pt idx="76">
                  <c:v>3.39</c:v>
                </c:pt>
                <c:pt idx="77">
                  <c:v>3.42</c:v>
                </c:pt>
                <c:pt idx="78">
                  <c:v>3.27</c:v>
                </c:pt>
                <c:pt idx="79">
                  <c:v>3.13</c:v>
                </c:pt>
                <c:pt idx="80">
                  <c:v>3.23</c:v>
                </c:pt>
                <c:pt idx="81">
                  <c:v>3.25</c:v>
                </c:pt>
                <c:pt idx="82">
                  <c:v>3.26</c:v>
                </c:pt>
                <c:pt idx="83">
                  <c:v>3.45</c:v>
                </c:pt>
                <c:pt idx="84">
                  <c:v>3.39</c:v>
                </c:pt>
                <c:pt idx="85">
                  <c:v>3.28</c:v>
                </c:pt>
                <c:pt idx="86">
                  <c:v>3.5</c:v>
                </c:pt>
                <c:pt idx="87">
                  <c:v>3.48</c:v>
                </c:pt>
                <c:pt idx="88">
                  <c:v>3.4</c:v>
                </c:pt>
                <c:pt idx="89">
                  <c:v>3.72</c:v>
                </c:pt>
                <c:pt idx="90">
                  <c:v>3.69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7F-4087-BF5E-BDEEDE0983C2}"/>
            </c:ext>
          </c:extLst>
        </c:ser>
        <c:ser>
          <c:idx val="1"/>
          <c:order val="1"/>
          <c:tx>
            <c:strRef>
              <c:f>'01_Rates'!$C$3</c:f>
              <c:strCache>
                <c:ptCount val="1"/>
                <c:pt idx="0">
                  <c:v>ECB DFR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multiLvlStrRef>
              <c:f>'01_Rates'!$A$4:$A$103</c:f>
              <c:multiLvlStrCache>
                <c:ptCount val="91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  <c:pt idx="48">
                    <c:v>Jan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Apr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Aug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Dec</c:v>
                  </c:pt>
                  <c:pt idx="60">
                    <c:v>Jan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Apr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Aug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Dec</c:v>
                  </c:pt>
                  <c:pt idx="72">
                    <c:v>Jan</c:v>
                  </c:pt>
                  <c:pt idx="73">
                    <c:v>Feb</c:v>
                  </c:pt>
                  <c:pt idx="74">
                    <c:v>Mar</c:v>
                  </c:pt>
                  <c:pt idx="75">
                    <c:v>Apr</c:v>
                  </c:pt>
                  <c:pt idx="76">
                    <c:v>May</c:v>
                  </c:pt>
                  <c:pt idx="77">
                    <c:v>Jun</c:v>
                  </c:pt>
                  <c:pt idx="78">
                    <c:v>Jul</c:v>
                  </c:pt>
                  <c:pt idx="79">
                    <c:v>Aug</c:v>
                  </c:pt>
                  <c:pt idx="80">
                    <c:v>Sep</c:v>
                  </c:pt>
                  <c:pt idx="81">
                    <c:v>Oct</c:v>
                  </c:pt>
                  <c:pt idx="82">
                    <c:v>Nov</c:v>
                  </c:pt>
                  <c:pt idx="83">
                    <c:v>Dec</c:v>
                  </c:pt>
                  <c:pt idx="84">
                    <c:v>Jan</c:v>
                  </c:pt>
                  <c:pt idx="85">
                    <c:v>Feb</c:v>
                  </c:pt>
                  <c:pt idx="86">
                    <c:v>Mar</c:v>
                  </c:pt>
                  <c:pt idx="87">
                    <c:v>Apr</c:v>
                  </c:pt>
                  <c:pt idx="88">
                    <c:v>May</c:v>
                  </c:pt>
                  <c:pt idx="89">
                    <c:v>Jun</c:v>
                  </c:pt>
                  <c:pt idx="90">
                    <c:v>Jul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  <c:pt idx="48">
                    <c:v>2023</c:v>
                  </c:pt>
                  <c:pt idx="60">
                    <c:v>2024</c:v>
                  </c:pt>
                  <c:pt idx="72">
                    <c:v>2025</c:v>
                  </c:pt>
                  <c:pt idx="84">
                    <c:v>2026</c:v>
                  </c:pt>
                </c:lvl>
              </c:multiLvlStrCache>
            </c:multiLvlStrRef>
          </c:cat>
          <c:val>
            <c:numRef>
              <c:f>'01_Rates'!$C$4:$C$103</c:f>
              <c:numCache>
                <c:formatCode>0.00</c:formatCode>
                <c:ptCount val="91"/>
                <c:pt idx="0">
                  <c:v>-0.4</c:v>
                </c:pt>
                <c:pt idx="1">
                  <c:v>-0.4</c:v>
                </c:pt>
                <c:pt idx="2">
                  <c:v>-0.4</c:v>
                </c:pt>
                <c:pt idx="3">
                  <c:v>-0.4</c:v>
                </c:pt>
                <c:pt idx="4">
                  <c:v>-0.4</c:v>
                </c:pt>
                <c:pt idx="5">
                  <c:v>-0.4</c:v>
                </c:pt>
                <c:pt idx="6">
                  <c:v>-0.4</c:v>
                </c:pt>
                <c:pt idx="7">
                  <c:v>-0.4</c:v>
                </c:pt>
                <c:pt idx="8">
                  <c:v>-0.5</c:v>
                </c:pt>
                <c:pt idx="9">
                  <c:v>-0.5</c:v>
                </c:pt>
                <c:pt idx="10">
                  <c:v>-0.5</c:v>
                </c:pt>
                <c:pt idx="11">
                  <c:v>-0.5</c:v>
                </c:pt>
                <c:pt idx="12">
                  <c:v>-0.5</c:v>
                </c:pt>
                <c:pt idx="13">
                  <c:v>-0.5</c:v>
                </c:pt>
                <c:pt idx="14">
                  <c:v>-0.5</c:v>
                </c:pt>
                <c:pt idx="15">
                  <c:v>-0.5</c:v>
                </c:pt>
                <c:pt idx="16">
                  <c:v>-0.5</c:v>
                </c:pt>
                <c:pt idx="17">
                  <c:v>-0.5</c:v>
                </c:pt>
                <c:pt idx="18">
                  <c:v>-0.5</c:v>
                </c:pt>
                <c:pt idx="19">
                  <c:v>-0.5</c:v>
                </c:pt>
                <c:pt idx="20">
                  <c:v>-0.5</c:v>
                </c:pt>
                <c:pt idx="21">
                  <c:v>-0.5</c:v>
                </c:pt>
                <c:pt idx="22">
                  <c:v>-0.5</c:v>
                </c:pt>
                <c:pt idx="23">
                  <c:v>-0.5</c:v>
                </c:pt>
                <c:pt idx="24">
                  <c:v>-0.5</c:v>
                </c:pt>
                <c:pt idx="25">
                  <c:v>-0.5</c:v>
                </c:pt>
                <c:pt idx="26">
                  <c:v>-0.5</c:v>
                </c:pt>
                <c:pt idx="27">
                  <c:v>-0.5</c:v>
                </c:pt>
                <c:pt idx="28">
                  <c:v>-0.5</c:v>
                </c:pt>
                <c:pt idx="29">
                  <c:v>-0.5</c:v>
                </c:pt>
                <c:pt idx="30">
                  <c:v>-0.5</c:v>
                </c:pt>
                <c:pt idx="31">
                  <c:v>-0.5</c:v>
                </c:pt>
                <c:pt idx="32">
                  <c:v>-0.5</c:v>
                </c:pt>
                <c:pt idx="33">
                  <c:v>-0.5</c:v>
                </c:pt>
                <c:pt idx="34">
                  <c:v>-0.5</c:v>
                </c:pt>
                <c:pt idx="35">
                  <c:v>-0.5</c:v>
                </c:pt>
                <c:pt idx="36">
                  <c:v>-0.5</c:v>
                </c:pt>
                <c:pt idx="37">
                  <c:v>-0.5</c:v>
                </c:pt>
                <c:pt idx="38">
                  <c:v>-0.5</c:v>
                </c:pt>
                <c:pt idx="39">
                  <c:v>-0.5</c:v>
                </c:pt>
                <c:pt idx="40">
                  <c:v>-0.5</c:v>
                </c:pt>
                <c:pt idx="41">
                  <c:v>-0.5</c:v>
                </c:pt>
                <c:pt idx="42">
                  <c:v>0</c:v>
                </c:pt>
                <c:pt idx="43">
                  <c:v>0</c:v>
                </c:pt>
                <c:pt idx="44">
                  <c:v>0.75</c:v>
                </c:pt>
                <c:pt idx="45">
                  <c:v>0.75</c:v>
                </c:pt>
                <c:pt idx="46">
                  <c:v>1.5</c:v>
                </c:pt>
                <c:pt idx="47">
                  <c:v>2</c:v>
                </c:pt>
                <c:pt idx="48">
                  <c:v>2</c:v>
                </c:pt>
                <c:pt idx="49">
                  <c:v>2.5</c:v>
                </c:pt>
                <c:pt idx="50">
                  <c:v>3</c:v>
                </c:pt>
                <c:pt idx="51">
                  <c:v>3</c:v>
                </c:pt>
                <c:pt idx="52">
                  <c:v>3.25</c:v>
                </c:pt>
                <c:pt idx="53">
                  <c:v>3.5</c:v>
                </c:pt>
                <c:pt idx="54">
                  <c:v>3.5</c:v>
                </c:pt>
                <c:pt idx="55">
                  <c:v>3.75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3.75</c:v>
                </c:pt>
                <c:pt idx="66">
                  <c:v>3.75</c:v>
                </c:pt>
                <c:pt idx="67">
                  <c:v>3.75</c:v>
                </c:pt>
                <c:pt idx="68">
                  <c:v>3.5</c:v>
                </c:pt>
                <c:pt idx="69">
                  <c:v>3.25</c:v>
                </c:pt>
                <c:pt idx="70">
                  <c:v>3.25</c:v>
                </c:pt>
                <c:pt idx="71">
                  <c:v>3</c:v>
                </c:pt>
                <c:pt idx="72">
                  <c:v>3</c:v>
                </c:pt>
                <c:pt idx="73">
                  <c:v>2.75</c:v>
                </c:pt>
                <c:pt idx="74">
                  <c:v>2.5</c:v>
                </c:pt>
                <c:pt idx="75">
                  <c:v>2.25</c:v>
                </c:pt>
                <c:pt idx="76">
                  <c:v>2.25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2.25</c:v>
                </c:pt>
                <c:pt idx="90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7F-4087-BF5E-BDEEDE098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2366272"/>
        <c:axId val="932117392"/>
      </c:lineChart>
      <c:catAx>
        <c:axId val="1412366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117392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93211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36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19048717620682"/>
          <c:y val="0.44304991274773103"/>
          <c:w val="0.12764226878428456"/>
          <c:h val="9.12222447776198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[ECB Corporate Loans.xlsx]02_New_Lending!PivotTable4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>
                <a:effectLst/>
              </a:rPr>
              <a:t>Monthly New Corporate Loan Volume and 3-Month Moving Average</a:t>
            </a:r>
            <a:endParaRPr lang="en-US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'02_New_Lending'!$B$3</c:f>
              <c:strCache>
                <c:ptCount val="1"/>
                <c:pt idx="0">
                  <c:v>New Loan Volume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multiLvlStrRef>
              <c:f>'02_New_Lending'!$A$4:$A$103</c:f>
              <c:multiLvlStrCache>
                <c:ptCount val="91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  <c:pt idx="48">
                    <c:v>Jan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Apr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Aug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Dec</c:v>
                  </c:pt>
                  <c:pt idx="60">
                    <c:v>Jan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Apr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Aug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Dec</c:v>
                  </c:pt>
                  <c:pt idx="72">
                    <c:v>Jan</c:v>
                  </c:pt>
                  <c:pt idx="73">
                    <c:v>Feb</c:v>
                  </c:pt>
                  <c:pt idx="74">
                    <c:v>Mar</c:v>
                  </c:pt>
                  <c:pt idx="75">
                    <c:v>Apr</c:v>
                  </c:pt>
                  <c:pt idx="76">
                    <c:v>May</c:v>
                  </c:pt>
                  <c:pt idx="77">
                    <c:v>Jun</c:v>
                  </c:pt>
                  <c:pt idx="78">
                    <c:v>Jul</c:v>
                  </c:pt>
                  <c:pt idx="79">
                    <c:v>Aug</c:v>
                  </c:pt>
                  <c:pt idx="80">
                    <c:v>Sep</c:v>
                  </c:pt>
                  <c:pt idx="81">
                    <c:v>Oct</c:v>
                  </c:pt>
                  <c:pt idx="82">
                    <c:v>Nov</c:v>
                  </c:pt>
                  <c:pt idx="83">
                    <c:v>Dec</c:v>
                  </c:pt>
                  <c:pt idx="84">
                    <c:v>Jan</c:v>
                  </c:pt>
                  <c:pt idx="85">
                    <c:v>Feb</c:v>
                  </c:pt>
                  <c:pt idx="86">
                    <c:v>Mar</c:v>
                  </c:pt>
                  <c:pt idx="87">
                    <c:v>Apr</c:v>
                  </c:pt>
                  <c:pt idx="88">
                    <c:v>May</c:v>
                  </c:pt>
                  <c:pt idx="89">
                    <c:v>Jun</c:v>
                  </c:pt>
                  <c:pt idx="90">
                    <c:v>Jul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  <c:pt idx="48">
                    <c:v>2023</c:v>
                  </c:pt>
                  <c:pt idx="60">
                    <c:v>2024</c:v>
                  </c:pt>
                  <c:pt idx="72">
                    <c:v>2025</c:v>
                  </c:pt>
                  <c:pt idx="84">
                    <c:v>2026</c:v>
                  </c:pt>
                </c:lvl>
              </c:multiLvlStrCache>
            </c:multiLvlStrRef>
          </c:cat>
          <c:val>
            <c:numRef>
              <c:f>'02_New_Lending'!$B$4:$B$103</c:f>
              <c:numCache>
                <c:formatCode>0.00</c:formatCode>
                <c:ptCount val="91"/>
                <c:pt idx="0">
                  <c:v>53666</c:v>
                </c:pt>
                <c:pt idx="1">
                  <c:v>49224</c:v>
                </c:pt>
                <c:pt idx="2">
                  <c:v>55394</c:v>
                </c:pt>
                <c:pt idx="3">
                  <c:v>60033</c:v>
                </c:pt>
                <c:pt idx="4">
                  <c:v>56251</c:v>
                </c:pt>
                <c:pt idx="5">
                  <c:v>58984</c:v>
                </c:pt>
                <c:pt idx="6">
                  <c:v>62595</c:v>
                </c:pt>
                <c:pt idx="7">
                  <c:v>50710</c:v>
                </c:pt>
                <c:pt idx="8">
                  <c:v>58264</c:v>
                </c:pt>
                <c:pt idx="9">
                  <c:v>57227</c:v>
                </c:pt>
                <c:pt idx="10">
                  <c:v>53394</c:v>
                </c:pt>
                <c:pt idx="11">
                  <c:v>75436</c:v>
                </c:pt>
                <c:pt idx="12">
                  <c:v>50439</c:v>
                </c:pt>
                <c:pt idx="13">
                  <c:v>48433</c:v>
                </c:pt>
                <c:pt idx="14">
                  <c:v>71850</c:v>
                </c:pt>
                <c:pt idx="15">
                  <c:v>57567</c:v>
                </c:pt>
                <c:pt idx="16">
                  <c:v>51330</c:v>
                </c:pt>
                <c:pt idx="17">
                  <c:v>56293</c:v>
                </c:pt>
                <c:pt idx="18">
                  <c:v>48992</c:v>
                </c:pt>
                <c:pt idx="19">
                  <c:v>39287</c:v>
                </c:pt>
                <c:pt idx="20">
                  <c:v>49712</c:v>
                </c:pt>
                <c:pt idx="21">
                  <c:v>46031</c:v>
                </c:pt>
                <c:pt idx="22">
                  <c:v>44795</c:v>
                </c:pt>
                <c:pt idx="23">
                  <c:v>61453</c:v>
                </c:pt>
                <c:pt idx="24">
                  <c:v>37482</c:v>
                </c:pt>
                <c:pt idx="25">
                  <c:v>39808</c:v>
                </c:pt>
                <c:pt idx="26">
                  <c:v>71405</c:v>
                </c:pt>
                <c:pt idx="27">
                  <c:v>37857</c:v>
                </c:pt>
                <c:pt idx="28">
                  <c:v>42588</c:v>
                </c:pt>
                <c:pt idx="29">
                  <c:v>55246</c:v>
                </c:pt>
                <c:pt idx="30">
                  <c:v>49313</c:v>
                </c:pt>
                <c:pt idx="31">
                  <c:v>39308</c:v>
                </c:pt>
                <c:pt idx="32">
                  <c:v>45930</c:v>
                </c:pt>
                <c:pt idx="33">
                  <c:v>51018</c:v>
                </c:pt>
                <c:pt idx="34">
                  <c:v>56535</c:v>
                </c:pt>
                <c:pt idx="35">
                  <c:v>75953</c:v>
                </c:pt>
                <c:pt idx="36">
                  <c:v>43783</c:v>
                </c:pt>
                <c:pt idx="37">
                  <c:v>47988</c:v>
                </c:pt>
                <c:pt idx="38">
                  <c:v>70681</c:v>
                </c:pt>
                <c:pt idx="39">
                  <c:v>54712</c:v>
                </c:pt>
                <c:pt idx="40">
                  <c:v>59640</c:v>
                </c:pt>
                <c:pt idx="41">
                  <c:v>94842</c:v>
                </c:pt>
                <c:pt idx="42">
                  <c:v>58260</c:v>
                </c:pt>
                <c:pt idx="43">
                  <c:v>66993</c:v>
                </c:pt>
                <c:pt idx="44">
                  <c:v>70879</c:v>
                </c:pt>
                <c:pt idx="45">
                  <c:v>63154</c:v>
                </c:pt>
                <c:pt idx="46">
                  <c:v>56210</c:v>
                </c:pt>
                <c:pt idx="47">
                  <c:v>74461</c:v>
                </c:pt>
                <c:pt idx="48">
                  <c:v>58268</c:v>
                </c:pt>
                <c:pt idx="49">
                  <c:v>65700</c:v>
                </c:pt>
                <c:pt idx="50">
                  <c:v>72597</c:v>
                </c:pt>
                <c:pt idx="51">
                  <c:v>50533</c:v>
                </c:pt>
                <c:pt idx="52">
                  <c:v>58226</c:v>
                </c:pt>
                <c:pt idx="53">
                  <c:v>67654</c:v>
                </c:pt>
                <c:pt idx="54">
                  <c:v>57453</c:v>
                </c:pt>
                <c:pt idx="55">
                  <c:v>51977</c:v>
                </c:pt>
                <c:pt idx="56">
                  <c:v>57615</c:v>
                </c:pt>
                <c:pt idx="57">
                  <c:v>51984</c:v>
                </c:pt>
                <c:pt idx="58">
                  <c:v>56849</c:v>
                </c:pt>
                <c:pt idx="59">
                  <c:v>76896</c:v>
                </c:pt>
                <c:pt idx="60">
                  <c:v>53264</c:v>
                </c:pt>
                <c:pt idx="61">
                  <c:v>53919</c:v>
                </c:pt>
                <c:pt idx="62">
                  <c:v>65775</c:v>
                </c:pt>
                <c:pt idx="63">
                  <c:v>56606</c:v>
                </c:pt>
                <c:pt idx="64">
                  <c:v>61576</c:v>
                </c:pt>
                <c:pt idx="65">
                  <c:v>70123</c:v>
                </c:pt>
                <c:pt idx="66">
                  <c:v>60191</c:v>
                </c:pt>
                <c:pt idx="67">
                  <c:v>56093</c:v>
                </c:pt>
                <c:pt idx="68">
                  <c:v>77186</c:v>
                </c:pt>
                <c:pt idx="69">
                  <c:v>71158</c:v>
                </c:pt>
                <c:pt idx="70">
                  <c:v>58535</c:v>
                </c:pt>
                <c:pt idx="71">
                  <c:v>75940</c:v>
                </c:pt>
                <c:pt idx="72">
                  <c:v>52859</c:v>
                </c:pt>
                <c:pt idx="73">
                  <c:v>54450</c:v>
                </c:pt>
                <c:pt idx="74">
                  <c:v>85751</c:v>
                </c:pt>
                <c:pt idx="75">
                  <c:v>72461</c:v>
                </c:pt>
                <c:pt idx="76">
                  <c:v>70087</c:v>
                </c:pt>
                <c:pt idx="77">
                  <c:v>80306</c:v>
                </c:pt>
                <c:pt idx="78">
                  <c:v>76197</c:v>
                </c:pt>
                <c:pt idx="79">
                  <c:v>64868</c:v>
                </c:pt>
                <c:pt idx="80">
                  <c:v>80367</c:v>
                </c:pt>
                <c:pt idx="81">
                  <c:v>74794</c:v>
                </c:pt>
                <c:pt idx="82">
                  <c:v>75330</c:v>
                </c:pt>
                <c:pt idx="83">
                  <c:v>92307</c:v>
                </c:pt>
                <c:pt idx="84">
                  <c:v>61933</c:v>
                </c:pt>
                <c:pt idx="85">
                  <c:v>67661</c:v>
                </c:pt>
                <c:pt idx="86">
                  <c:v>86234</c:v>
                </c:pt>
                <c:pt idx="87">
                  <c:v>69790</c:v>
                </c:pt>
                <c:pt idx="88">
                  <c:v>72760</c:v>
                </c:pt>
                <c:pt idx="89">
                  <c:v>86130</c:v>
                </c:pt>
                <c:pt idx="90">
                  <c:v>74496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78-40AC-BD49-A6B77825A1ED}"/>
            </c:ext>
          </c:extLst>
        </c:ser>
        <c:ser>
          <c:idx val="1"/>
          <c:order val="1"/>
          <c:tx>
            <c:strRef>
              <c:f>'02_New_Lending'!$C$3</c:f>
              <c:strCache>
                <c:ptCount val="1"/>
                <c:pt idx="0">
                  <c:v>3M Moving 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'02_New_Lending'!$A$4:$A$103</c:f>
              <c:multiLvlStrCache>
                <c:ptCount val="91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  <c:pt idx="48">
                    <c:v>Jan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Apr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Aug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Dec</c:v>
                  </c:pt>
                  <c:pt idx="60">
                    <c:v>Jan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Apr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Aug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Dec</c:v>
                  </c:pt>
                  <c:pt idx="72">
                    <c:v>Jan</c:v>
                  </c:pt>
                  <c:pt idx="73">
                    <c:v>Feb</c:v>
                  </c:pt>
                  <c:pt idx="74">
                    <c:v>Mar</c:v>
                  </c:pt>
                  <c:pt idx="75">
                    <c:v>Apr</c:v>
                  </c:pt>
                  <c:pt idx="76">
                    <c:v>May</c:v>
                  </c:pt>
                  <c:pt idx="77">
                    <c:v>Jun</c:v>
                  </c:pt>
                  <c:pt idx="78">
                    <c:v>Jul</c:v>
                  </c:pt>
                  <c:pt idx="79">
                    <c:v>Aug</c:v>
                  </c:pt>
                  <c:pt idx="80">
                    <c:v>Sep</c:v>
                  </c:pt>
                  <c:pt idx="81">
                    <c:v>Oct</c:v>
                  </c:pt>
                  <c:pt idx="82">
                    <c:v>Nov</c:v>
                  </c:pt>
                  <c:pt idx="83">
                    <c:v>Dec</c:v>
                  </c:pt>
                  <c:pt idx="84">
                    <c:v>Jan</c:v>
                  </c:pt>
                  <c:pt idx="85">
                    <c:v>Feb</c:v>
                  </c:pt>
                  <c:pt idx="86">
                    <c:v>Mar</c:v>
                  </c:pt>
                  <c:pt idx="87">
                    <c:v>Apr</c:v>
                  </c:pt>
                  <c:pt idx="88">
                    <c:v>May</c:v>
                  </c:pt>
                  <c:pt idx="89">
                    <c:v>Jun</c:v>
                  </c:pt>
                  <c:pt idx="90">
                    <c:v>Jul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  <c:pt idx="48">
                    <c:v>2023</c:v>
                  </c:pt>
                  <c:pt idx="60">
                    <c:v>2024</c:v>
                  </c:pt>
                  <c:pt idx="72">
                    <c:v>2025</c:v>
                  </c:pt>
                  <c:pt idx="84">
                    <c:v>2026</c:v>
                  </c:pt>
                </c:lvl>
              </c:multiLvlStrCache>
            </c:multiLvlStrRef>
          </c:cat>
          <c:val>
            <c:numRef>
              <c:f>'02_New_Lending'!$C$4:$C$103</c:f>
              <c:numCache>
                <c:formatCode>0.00</c:formatCode>
                <c:ptCount val="91"/>
                <c:pt idx="2">
                  <c:v>52761.333333333336</c:v>
                </c:pt>
                <c:pt idx="3">
                  <c:v>54883.666666666664</c:v>
                </c:pt>
                <c:pt idx="4">
                  <c:v>57226</c:v>
                </c:pt>
                <c:pt idx="5">
                  <c:v>58422.666666666664</c:v>
                </c:pt>
                <c:pt idx="6">
                  <c:v>59276.666666666664</c:v>
                </c:pt>
                <c:pt idx="7">
                  <c:v>57429.666666666664</c:v>
                </c:pt>
                <c:pt idx="8">
                  <c:v>57189.666666666664</c:v>
                </c:pt>
                <c:pt idx="9">
                  <c:v>55400.333333333336</c:v>
                </c:pt>
                <c:pt idx="10">
                  <c:v>56295</c:v>
                </c:pt>
                <c:pt idx="11">
                  <c:v>62019</c:v>
                </c:pt>
                <c:pt idx="12">
                  <c:v>59756.333333333336</c:v>
                </c:pt>
                <c:pt idx="13">
                  <c:v>58102.666666666664</c:v>
                </c:pt>
                <c:pt idx="14">
                  <c:v>56907.333333333336</c:v>
                </c:pt>
                <c:pt idx="15">
                  <c:v>59283.333333333336</c:v>
                </c:pt>
                <c:pt idx="16">
                  <c:v>60249</c:v>
                </c:pt>
                <c:pt idx="17">
                  <c:v>55063.333333333336</c:v>
                </c:pt>
                <c:pt idx="18">
                  <c:v>52205</c:v>
                </c:pt>
                <c:pt idx="19">
                  <c:v>48190.666666666664</c:v>
                </c:pt>
                <c:pt idx="20">
                  <c:v>45997</c:v>
                </c:pt>
                <c:pt idx="21">
                  <c:v>45010</c:v>
                </c:pt>
                <c:pt idx="22">
                  <c:v>46846</c:v>
                </c:pt>
                <c:pt idx="23">
                  <c:v>50759.666666666664</c:v>
                </c:pt>
                <c:pt idx="24">
                  <c:v>47910</c:v>
                </c:pt>
                <c:pt idx="25">
                  <c:v>46247.666666666664</c:v>
                </c:pt>
                <c:pt idx="26">
                  <c:v>49565</c:v>
                </c:pt>
                <c:pt idx="27">
                  <c:v>49690</c:v>
                </c:pt>
                <c:pt idx="28">
                  <c:v>50616.666666666664</c:v>
                </c:pt>
                <c:pt idx="29">
                  <c:v>45230.333333333336</c:v>
                </c:pt>
                <c:pt idx="30">
                  <c:v>49049</c:v>
                </c:pt>
                <c:pt idx="31">
                  <c:v>47955.666666666664</c:v>
                </c:pt>
                <c:pt idx="32">
                  <c:v>44850.333333333336</c:v>
                </c:pt>
                <c:pt idx="33">
                  <c:v>45418.666666666664</c:v>
                </c:pt>
                <c:pt idx="34">
                  <c:v>51161</c:v>
                </c:pt>
                <c:pt idx="35">
                  <c:v>61168.666666666664</c:v>
                </c:pt>
                <c:pt idx="36">
                  <c:v>58757</c:v>
                </c:pt>
                <c:pt idx="37">
                  <c:v>55908</c:v>
                </c:pt>
                <c:pt idx="38">
                  <c:v>54150.666666666664</c:v>
                </c:pt>
                <c:pt idx="39">
                  <c:v>57793.666666666664</c:v>
                </c:pt>
                <c:pt idx="40">
                  <c:v>61677.666666666664</c:v>
                </c:pt>
                <c:pt idx="41">
                  <c:v>69731.333333333328</c:v>
                </c:pt>
                <c:pt idx="42">
                  <c:v>70914</c:v>
                </c:pt>
                <c:pt idx="43">
                  <c:v>73365</c:v>
                </c:pt>
                <c:pt idx="44">
                  <c:v>65377.333333333336</c:v>
                </c:pt>
                <c:pt idx="45">
                  <c:v>67008.666666666672</c:v>
                </c:pt>
                <c:pt idx="46">
                  <c:v>63414.333333333336</c:v>
                </c:pt>
                <c:pt idx="47">
                  <c:v>64608.333333333336</c:v>
                </c:pt>
                <c:pt idx="48">
                  <c:v>62979.666666666664</c:v>
                </c:pt>
                <c:pt idx="49">
                  <c:v>66143</c:v>
                </c:pt>
                <c:pt idx="50">
                  <c:v>65521.666666666664</c:v>
                </c:pt>
                <c:pt idx="51">
                  <c:v>62943.333333333336</c:v>
                </c:pt>
                <c:pt idx="52">
                  <c:v>60452</c:v>
                </c:pt>
                <c:pt idx="53">
                  <c:v>58804.333333333336</c:v>
                </c:pt>
                <c:pt idx="54">
                  <c:v>61111</c:v>
                </c:pt>
                <c:pt idx="55">
                  <c:v>59028</c:v>
                </c:pt>
                <c:pt idx="56">
                  <c:v>55681.666666666664</c:v>
                </c:pt>
                <c:pt idx="57">
                  <c:v>53858.666666666664</c:v>
                </c:pt>
                <c:pt idx="58">
                  <c:v>55482.666666666664</c:v>
                </c:pt>
                <c:pt idx="59">
                  <c:v>61909.666666666664</c:v>
                </c:pt>
                <c:pt idx="60">
                  <c:v>62336.333333333336</c:v>
                </c:pt>
                <c:pt idx="61">
                  <c:v>61359.666666666664</c:v>
                </c:pt>
                <c:pt idx="62">
                  <c:v>57652.666666666664</c:v>
                </c:pt>
                <c:pt idx="63">
                  <c:v>58766.666666666664</c:v>
                </c:pt>
                <c:pt idx="64">
                  <c:v>61319</c:v>
                </c:pt>
                <c:pt idx="65">
                  <c:v>62768.333333333336</c:v>
                </c:pt>
                <c:pt idx="66">
                  <c:v>63963.333333333336</c:v>
                </c:pt>
                <c:pt idx="67">
                  <c:v>62135.666666666664</c:v>
                </c:pt>
                <c:pt idx="68">
                  <c:v>64490</c:v>
                </c:pt>
                <c:pt idx="69">
                  <c:v>68145.666666666672</c:v>
                </c:pt>
                <c:pt idx="70">
                  <c:v>68959.666666666672</c:v>
                </c:pt>
                <c:pt idx="71">
                  <c:v>68544.333333333328</c:v>
                </c:pt>
                <c:pt idx="72">
                  <c:v>62444.666666666664</c:v>
                </c:pt>
                <c:pt idx="73">
                  <c:v>61083</c:v>
                </c:pt>
                <c:pt idx="74">
                  <c:v>64353.333333333336</c:v>
                </c:pt>
                <c:pt idx="75">
                  <c:v>70887.333333333328</c:v>
                </c:pt>
                <c:pt idx="76">
                  <c:v>76099.666666666672</c:v>
                </c:pt>
                <c:pt idx="77">
                  <c:v>74284.666666666672</c:v>
                </c:pt>
                <c:pt idx="78">
                  <c:v>75530</c:v>
                </c:pt>
                <c:pt idx="79">
                  <c:v>73790.333333333328</c:v>
                </c:pt>
                <c:pt idx="80">
                  <c:v>73810.666666666672</c:v>
                </c:pt>
                <c:pt idx="81">
                  <c:v>73343</c:v>
                </c:pt>
                <c:pt idx="82">
                  <c:v>76830.333333333328</c:v>
                </c:pt>
                <c:pt idx="83">
                  <c:v>80810.333333333328</c:v>
                </c:pt>
                <c:pt idx="84">
                  <c:v>76523.333333333328</c:v>
                </c:pt>
                <c:pt idx="85">
                  <c:v>73967</c:v>
                </c:pt>
                <c:pt idx="86">
                  <c:v>71942.666666666672</c:v>
                </c:pt>
                <c:pt idx="87">
                  <c:v>74561.666666666672</c:v>
                </c:pt>
                <c:pt idx="88">
                  <c:v>76261.333333333328</c:v>
                </c:pt>
                <c:pt idx="89">
                  <c:v>76226.666666666672</c:v>
                </c:pt>
                <c:pt idx="90">
                  <c:v>77795.333333333328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78-40AC-BD49-A6B77825A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055696"/>
        <c:axId val="932058832"/>
      </c:lineChart>
      <c:catAx>
        <c:axId val="1041055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058832"/>
        <c:crosses val="autoZero"/>
        <c:auto val="1"/>
        <c:lblAlgn val="ctr"/>
        <c:lblOffset val="100"/>
        <c:noMultiLvlLbl val="0"/>
      </c:catAx>
      <c:valAx>
        <c:axId val="932058832"/>
        <c:scaling>
          <c:orientation val="minMax"/>
          <c:min val="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New Loan Volume (EUR mn)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05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5134428703549"/>
          <c:y val="0.41858388872346047"/>
          <c:w val="0.14453270605840612"/>
          <c:h val="0.107810386875215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[ECB Corporate Loans.xlsx]03_Loan_Growth!PivotTable5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YoY Growth in New Corporate Lending vs Outstanding Loan Stock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'03_Loan_Growth'!$B$3</c:f>
              <c:strCache>
                <c:ptCount val="1"/>
                <c:pt idx="0">
                  <c:v>New Loan Volume YoY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'03_Loan_Growth'!$A$4:$A$91</c:f>
              <c:multiLvlStrCache>
                <c:ptCount val="80"/>
                <c:lvl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  <c:pt idx="25">
                    <c:v>Jan</c:v>
                  </c:pt>
                  <c:pt idx="26">
                    <c:v>Feb</c:v>
                  </c:pt>
                  <c:pt idx="27">
                    <c:v>Mar</c:v>
                  </c:pt>
                  <c:pt idx="28">
                    <c:v>Apr</c:v>
                  </c:pt>
                  <c:pt idx="29">
                    <c:v>May</c:v>
                  </c:pt>
                  <c:pt idx="30">
                    <c:v>Jun</c:v>
                  </c:pt>
                  <c:pt idx="31">
                    <c:v>Jul</c:v>
                  </c:pt>
                  <c:pt idx="32">
                    <c:v>Aug</c:v>
                  </c:pt>
                  <c:pt idx="33">
                    <c:v>Sep</c:v>
                  </c:pt>
                  <c:pt idx="34">
                    <c:v>Oct</c:v>
                  </c:pt>
                  <c:pt idx="35">
                    <c:v>Nov</c:v>
                  </c:pt>
                  <c:pt idx="36">
                    <c:v>Dec</c:v>
                  </c:pt>
                  <c:pt idx="37">
                    <c:v>Jan</c:v>
                  </c:pt>
                  <c:pt idx="38">
                    <c:v>Feb</c:v>
                  </c:pt>
                  <c:pt idx="39">
                    <c:v>Mar</c:v>
                  </c:pt>
                  <c:pt idx="40">
                    <c:v>Apr</c:v>
                  </c:pt>
                  <c:pt idx="41">
                    <c:v>May</c:v>
                  </c:pt>
                  <c:pt idx="42">
                    <c:v>Jun</c:v>
                  </c:pt>
                  <c:pt idx="43">
                    <c:v>Jul</c:v>
                  </c:pt>
                  <c:pt idx="44">
                    <c:v>Aug</c:v>
                  </c:pt>
                  <c:pt idx="45">
                    <c:v>Sep</c:v>
                  </c:pt>
                  <c:pt idx="46">
                    <c:v>Oct</c:v>
                  </c:pt>
                  <c:pt idx="47">
                    <c:v>Nov</c:v>
                  </c:pt>
                  <c:pt idx="48">
                    <c:v>Dec</c:v>
                  </c:pt>
                  <c:pt idx="49">
                    <c:v>Jan</c:v>
                  </c:pt>
                  <c:pt idx="50">
                    <c:v>Feb</c:v>
                  </c:pt>
                  <c:pt idx="51">
                    <c:v>Mar</c:v>
                  </c:pt>
                  <c:pt idx="52">
                    <c:v>Apr</c:v>
                  </c:pt>
                  <c:pt idx="53">
                    <c:v>May</c:v>
                  </c:pt>
                  <c:pt idx="54">
                    <c:v>Jun</c:v>
                  </c:pt>
                  <c:pt idx="55">
                    <c:v>Jul</c:v>
                  </c:pt>
                  <c:pt idx="56">
                    <c:v>Aug</c:v>
                  </c:pt>
                  <c:pt idx="57">
                    <c:v>Sep</c:v>
                  </c:pt>
                  <c:pt idx="58">
                    <c:v>Oct</c:v>
                  </c:pt>
                  <c:pt idx="59">
                    <c:v>Nov</c:v>
                  </c:pt>
                  <c:pt idx="60">
                    <c:v>Dec</c:v>
                  </c:pt>
                  <c:pt idx="61">
                    <c:v>Jan</c:v>
                  </c:pt>
                  <c:pt idx="62">
                    <c:v>Feb</c:v>
                  </c:pt>
                  <c:pt idx="63">
                    <c:v>Mar</c:v>
                  </c:pt>
                  <c:pt idx="64">
                    <c:v>Apr</c:v>
                  </c:pt>
                  <c:pt idx="65">
                    <c:v>May</c:v>
                  </c:pt>
                  <c:pt idx="66">
                    <c:v>Jun</c:v>
                  </c:pt>
                  <c:pt idx="67">
                    <c:v>Jul</c:v>
                  </c:pt>
                  <c:pt idx="68">
                    <c:v>Aug</c:v>
                  </c:pt>
                  <c:pt idx="69">
                    <c:v>Sep</c:v>
                  </c:pt>
                  <c:pt idx="70">
                    <c:v>Oct</c:v>
                  </c:pt>
                  <c:pt idx="71">
                    <c:v>Nov</c:v>
                  </c:pt>
                  <c:pt idx="72">
                    <c:v>Dec</c:v>
                  </c:pt>
                  <c:pt idx="73">
                    <c:v>Jan</c:v>
                  </c:pt>
                  <c:pt idx="74">
                    <c:v>Feb</c:v>
                  </c:pt>
                  <c:pt idx="75">
                    <c:v>Mar</c:v>
                  </c:pt>
                  <c:pt idx="76">
                    <c:v>Apr</c:v>
                  </c:pt>
                  <c:pt idx="77">
                    <c:v>May</c:v>
                  </c:pt>
                  <c:pt idx="78">
                    <c:v>Jun</c:v>
                  </c:pt>
                  <c:pt idx="79">
                    <c:v>Jul</c:v>
                  </c:pt>
                </c:lvl>
                <c:lvl>
                  <c:pt idx="0">
                    <c:v>2019</c:v>
                  </c:pt>
                  <c:pt idx="1">
                    <c:v>2020</c:v>
                  </c:pt>
                  <c:pt idx="13">
                    <c:v>2021</c:v>
                  </c:pt>
                  <c:pt idx="25">
                    <c:v>2022</c:v>
                  </c:pt>
                  <c:pt idx="37">
                    <c:v>2023</c:v>
                  </c:pt>
                  <c:pt idx="49">
                    <c:v>2024</c:v>
                  </c:pt>
                  <c:pt idx="61">
                    <c:v>2025</c:v>
                  </c:pt>
                  <c:pt idx="73">
                    <c:v>2026</c:v>
                  </c:pt>
                </c:lvl>
              </c:multiLvlStrCache>
            </c:multiLvlStrRef>
          </c:cat>
          <c:val>
            <c:numRef>
              <c:f>'03_Loan_Growth'!$B$4:$B$91</c:f>
              <c:numCache>
                <c:formatCode>0.00%</c:formatCode>
                <c:ptCount val="80"/>
                <c:pt idx="1">
                  <c:v>-6.0131181753810603E-2</c:v>
                </c:pt>
                <c:pt idx="2">
                  <c:v>-1.6069397042093314E-2</c:v>
                </c:pt>
                <c:pt idx="3">
                  <c:v>0.29707188504170134</c:v>
                </c:pt>
                <c:pt idx="4">
                  <c:v>-4.1077407425915702E-2</c:v>
                </c:pt>
                <c:pt idx="5">
                  <c:v>-8.7482889193081004E-2</c:v>
                </c:pt>
                <c:pt idx="6">
                  <c:v>-4.5622541706225372E-2</c:v>
                </c:pt>
                <c:pt idx="7">
                  <c:v>-0.21731767713076122</c:v>
                </c:pt>
                <c:pt idx="8">
                  <c:v>-0.22526128968645243</c:v>
                </c:pt>
                <c:pt idx="9">
                  <c:v>-0.14678017300562951</c:v>
                </c:pt>
                <c:pt idx="10">
                  <c:v>-0.19564191727680991</c:v>
                </c:pt>
                <c:pt idx="11">
                  <c:v>-0.16104805783421361</c:v>
                </c:pt>
                <c:pt idx="12">
                  <c:v>-0.18536242642770029</c:v>
                </c:pt>
                <c:pt idx="13">
                  <c:v>-0.25688455361922324</c:v>
                </c:pt>
                <c:pt idx="14">
                  <c:v>-0.17808106043400163</c:v>
                </c:pt>
                <c:pt idx="15">
                  <c:v>-6.1934585942936549E-3</c:v>
                </c:pt>
                <c:pt idx="16">
                  <c:v>-0.3423836573036636</c:v>
                </c:pt>
                <c:pt idx="17">
                  <c:v>-0.17030976037405021</c:v>
                </c:pt>
                <c:pt idx="18">
                  <c:v>-1.8599115342937789E-2</c:v>
                </c:pt>
                <c:pt idx="19">
                  <c:v>6.5520901371651785E-3</c:v>
                </c:pt>
                <c:pt idx="20">
                  <c:v>5.3452796090303067E-4</c:v>
                </c:pt>
                <c:pt idx="21">
                  <c:v>-7.607821049243646E-2</c:v>
                </c:pt>
                <c:pt idx="22">
                  <c:v>0.10834003171775541</c:v>
                </c:pt>
                <c:pt idx="23">
                  <c:v>0.26208282174349806</c:v>
                </c:pt>
                <c:pt idx="24">
                  <c:v>0.23595267928335484</c:v>
                </c:pt>
                <c:pt idx="25">
                  <c:v>0.1681073581986019</c:v>
                </c:pt>
                <c:pt idx="26">
                  <c:v>0.20548633440514474</c:v>
                </c:pt>
                <c:pt idx="27">
                  <c:v>-1.0139345984174764E-2</c:v>
                </c:pt>
                <c:pt idx="28">
                  <c:v>0.44522809520035933</c:v>
                </c:pt>
                <c:pt idx="29">
                  <c:v>0.40039447731755429</c:v>
                </c:pt>
                <c:pt idx="30">
                  <c:v>0.71672157260254132</c:v>
                </c:pt>
                <c:pt idx="31">
                  <c:v>0.18143288787946377</c:v>
                </c:pt>
                <c:pt idx="32">
                  <c:v>0.70430955530680772</c:v>
                </c:pt>
                <c:pt idx="33">
                  <c:v>0.54319616808186377</c:v>
                </c:pt>
                <c:pt idx="34">
                  <c:v>0.23787682778627151</c:v>
                </c:pt>
                <c:pt idx="35">
                  <c:v>-5.7486512779694188E-3</c:v>
                </c:pt>
                <c:pt idx="36">
                  <c:v>-1.9643727041723125E-2</c:v>
                </c:pt>
                <c:pt idx="37">
                  <c:v>0.33083616928945014</c:v>
                </c:pt>
                <c:pt idx="38">
                  <c:v>0.36909227306826708</c:v>
                </c:pt>
                <c:pt idx="39">
                  <c:v>2.7107709285380865E-2</c:v>
                </c:pt>
                <c:pt idx="40">
                  <c:v>-7.6381780962128998E-2</c:v>
                </c:pt>
                <c:pt idx="41">
                  <c:v>-2.370892018779347E-2</c:v>
                </c:pt>
                <c:pt idx="42">
                  <c:v>-0.28666624491259152</c:v>
                </c:pt>
                <c:pt idx="43">
                  <c:v>-1.3851699279093688E-2</c:v>
                </c:pt>
                <c:pt idx="44">
                  <c:v>-0.22414282089173498</c:v>
                </c:pt>
                <c:pt idx="45">
                  <c:v>-0.18713582302233389</c:v>
                </c:pt>
                <c:pt idx="46">
                  <c:v>-0.17686924026981665</c:v>
                </c:pt>
                <c:pt idx="47">
                  <c:v>1.1368083970823673E-2</c:v>
                </c:pt>
                <c:pt idx="48">
                  <c:v>3.2701682760102546E-2</c:v>
                </c:pt>
                <c:pt idx="49">
                  <c:v>-8.5879041669526979E-2</c:v>
                </c:pt>
                <c:pt idx="50">
                  <c:v>-0.17931506849315071</c:v>
                </c:pt>
                <c:pt idx="51">
                  <c:v>-9.397082524071243E-2</c:v>
                </c:pt>
                <c:pt idx="52">
                  <c:v>0.12017889300061335</c:v>
                </c:pt>
                <c:pt idx="53">
                  <c:v>5.7534434788582445E-2</c:v>
                </c:pt>
                <c:pt idx="54">
                  <c:v>3.6494516214857997E-2</c:v>
                </c:pt>
                <c:pt idx="55">
                  <c:v>4.7656345186500193E-2</c:v>
                </c:pt>
                <c:pt idx="56">
                  <c:v>7.9188872001077382E-2</c:v>
                </c:pt>
                <c:pt idx="57">
                  <c:v>0.33968584569990457</c:v>
                </c:pt>
                <c:pt idx="58">
                  <c:v>0.36884425977223767</c:v>
                </c:pt>
                <c:pt idx="59">
                  <c:v>2.9657513764534071E-2</c:v>
                </c:pt>
                <c:pt idx="60">
                  <c:v>-1.2432376196421124E-2</c:v>
                </c:pt>
                <c:pt idx="61">
                  <c:v>-7.6036347251426939E-3</c:v>
                </c:pt>
                <c:pt idx="62">
                  <c:v>9.8481054915706689E-3</c:v>
                </c:pt>
                <c:pt idx="63">
                  <c:v>0.30370201444317746</c:v>
                </c:pt>
                <c:pt idx="64">
                  <c:v>0.2800939829700031</c:v>
                </c:pt>
                <c:pt idx="65">
                  <c:v>0.13821943614395216</c:v>
                </c:pt>
                <c:pt idx="66">
                  <c:v>0.14521626285241651</c:v>
                </c:pt>
                <c:pt idx="67">
                  <c:v>0.26592015417587356</c:v>
                </c:pt>
                <c:pt idx="68">
                  <c:v>0.1564366320218209</c:v>
                </c:pt>
                <c:pt idx="69">
                  <c:v>4.1212136916020992E-2</c:v>
                </c:pt>
                <c:pt idx="70">
                  <c:v>5.1097557547991723E-2</c:v>
                </c:pt>
                <c:pt idx="71">
                  <c:v>0.28692235414709155</c:v>
                </c:pt>
                <c:pt idx="72">
                  <c:v>0.21552541480115872</c:v>
                </c:pt>
                <c:pt idx="73">
                  <c:v>0.17166423882404125</c:v>
                </c:pt>
                <c:pt idx="74">
                  <c:v>0.24262626262626252</c:v>
                </c:pt>
                <c:pt idx="75">
                  <c:v>5.6325873750744382E-3</c:v>
                </c:pt>
                <c:pt idx="76">
                  <c:v>-3.6861208098149301E-2</c:v>
                </c:pt>
                <c:pt idx="77">
                  <c:v>3.8138313809979119E-2</c:v>
                </c:pt>
                <c:pt idx="78">
                  <c:v>7.2522601050980073E-2</c:v>
                </c:pt>
                <c:pt idx="79">
                  <c:v>-2.2323713532028777E-2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5F-4308-BAFC-EDB75666B2B5}"/>
            </c:ext>
          </c:extLst>
        </c:ser>
        <c:ser>
          <c:idx val="1"/>
          <c:order val="1"/>
          <c:tx>
            <c:strRef>
              <c:f>'03_Loan_Growth'!$C$3</c:f>
              <c:strCache>
                <c:ptCount val="1"/>
                <c:pt idx="0">
                  <c:v>Loan Stock Growth YoY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'03_Loan_Growth'!$A$4:$A$91</c:f>
              <c:multiLvlStrCache>
                <c:ptCount val="80"/>
                <c:lvl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  <c:pt idx="25">
                    <c:v>Jan</c:v>
                  </c:pt>
                  <c:pt idx="26">
                    <c:v>Feb</c:v>
                  </c:pt>
                  <c:pt idx="27">
                    <c:v>Mar</c:v>
                  </c:pt>
                  <c:pt idx="28">
                    <c:v>Apr</c:v>
                  </c:pt>
                  <c:pt idx="29">
                    <c:v>May</c:v>
                  </c:pt>
                  <c:pt idx="30">
                    <c:v>Jun</c:v>
                  </c:pt>
                  <c:pt idx="31">
                    <c:v>Jul</c:v>
                  </c:pt>
                  <c:pt idx="32">
                    <c:v>Aug</c:v>
                  </c:pt>
                  <c:pt idx="33">
                    <c:v>Sep</c:v>
                  </c:pt>
                  <c:pt idx="34">
                    <c:v>Oct</c:v>
                  </c:pt>
                  <c:pt idx="35">
                    <c:v>Nov</c:v>
                  </c:pt>
                  <c:pt idx="36">
                    <c:v>Dec</c:v>
                  </c:pt>
                  <c:pt idx="37">
                    <c:v>Jan</c:v>
                  </c:pt>
                  <c:pt idx="38">
                    <c:v>Feb</c:v>
                  </c:pt>
                  <c:pt idx="39">
                    <c:v>Mar</c:v>
                  </c:pt>
                  <c:pt idx="40">
                    <c:v>Apr</c:v>
                  </c:pt>
                  <c:pt idx="41">
                    <c:v>May</c:v>
                  </c:pt>
                  <c:pt idx="42">
                    <c:v>Jun</c:v>
                  </c:pt>
                  <c:pt idx="43">
                    <c:v>Jul</c:v>
                  </c:pt>
                  <c:pt idx="44">
                    <c:v>Aug</c:v>
                  </c:pt>
                  <c:pt idx="45">
                    <c:v>Sep</c:v>
                  </c:pt>
                  <c:pt idx="46">
                    <c:v>Oct</c:v>
                  </c:pt>
                  <c:pt idx="47">
                    <c:v>Nov</c:v>
                  </c:pt>
                  <c:pt idx="48">
                    <c:v>Dec</c:v>
                  </c:pt>
                  <c:pt idx="49">
                    <c:v>Jan</c:v>
                  </c:pt>
                  <c:pt idx="50">
                    <c:v>Feb</c:v>
                  </c:pt>
                  <c:pt idx="51">
                    <c:v>Mar</c:v>
                  </c:pt>
                  <c:pt idx="52">
                    <c:v>Apr</c:v>
                  </c:pt>
                  <c:pt idx="53">
                    <c:v>May</c:v>
                  </c:pt>
                  <c:pt idx="54">
                    <c:v>Jun</c:v>
                  </c:pt>
                  <c:pt idx="55">
                    <c:v>Jul</c:v>
                  </c:pt>
                  <c:pt idx="56">
                    <c:v>Aug</c:v>
                  </c:pt>
                  <c:pt idx="57">
                    <c:v>Sep</c:v>
                  </c:pt>
                  <c:pt idx="58">
                    <c:v>Oct</c:v>
                  </c:pt>
                  <c:pt idx="59">
                    <c:v>Nov</c:v>
                  </c:pt>
                  <c:pt idx="60">
                    <c:v>Dec</c:v>
                  </c:pt>
                  <c:pt idx="61">
                    <c:v>Jan</c:v>
                  </c:pt>
                  <c:pt idx="62">
                    <c:v>Feb</c:v>
                  </c:pt>
                  <c:pt idx="63">
                    <c:v>Mar</c:v>
                  </c:pt>
                  <c:pt idx="64">
                    <c:v>Apr</c:v>
                  </c:pt>
                  <c:pt idx="65">
                    <c:v>May</c:v>
                  </c:pt>
                  <c:pt idx="66">
                    <c:v>Jun</c:v>
                  </c:pt>
                  <c:pt idx="67">
                    <c:v>Jul</c:v>
                  </c:pt>
                  <c:pt idx="68">
                    <c:v>Aug</c:v>
                  </c:pt>
                  <c:pt idx="69">
                    <c:v>Sep</c:v>
                  </c:pt>
                  <c:pt idx="70">
                    <c:v>Oct</c:v>
                  </c:pt>
                  <c:pt idx="71">
                    <c:v>Nov</c:v>
                  </c:pt>
                  <c:pt idx="72">
                    <c:v>Dec</c:v>
                  </c:pt>
                  <c:pt idx="73">
                    <c:v>Jan</c:v>
                  </c:pt>
                  <c:pt idx="74">
                    <c:v>Feb</c:v>
                  </c:pt>
                  <c:pt idx="75">
                    <c:v>Mar</c:v>
                  </c:pt>
                  <c:pt idx="76">
                    <c:v>Apr</c:v>
                  </c:pt>
                  <c:pt idx="77">
                    <c:v>May</c:v>
                  </c:pt>
                  <c:pt idx="78">
                    <c:v>Jun</c:v>
                  </c:pt>
                  <c:pt idx="79">
                    <c:v>Jul</c:v>
                  </c:pt>
                </c:lvl>
                <c:lvl>
                  <c:pt idx="0">
                    <c:v>2019</c:v>
                  </c:pt>
                  <c:pt idx="1">
                    <c:v>2020</c:v>
                  </c:pt>
                  <c:pt idx="13">
                    <c:v>2021</c:v>
                  </c:pt>
                  <c:pt idx="25">
                    <c:v>2022</c:v>
                  </c:pt>
                  <c:pt idx="37">
                    <c:v>2023</c:v>
                  </c:pt>
                  <c:pt idx="49">
                    <c:v>2024</c:v>
                  </c:pt>
                  <c:pt idx="61">
                    <c:v>2025</c:v>
                  </c:pt>
                  <c:pt idx="73">
                    <c:v>2026</c:v>
                  </c:pt>
                </c:lvl>
              </c:multiLvlStrCache>
            </c:multiLvlStrRef>
          </c:cat>
          <c:val>
            <c:numRef>
              <c:f>'03_Loan_Growth'!$C$4:$C$91</c:f>
              <c:numCache>
                <c:formatCode>0.00%</c:formatCode>
                <c:ptCount val="80"/>
                <c:pt idx="1">
                  <c:v>5.4611043407752025E-2</c:v>
                </c:pt>
                <c:pt idx="2">
                  <c:v>5.3554869281879913E-2</c:v>
                </c:pt>
                <c:pt idx="3">
                  <c:v>6.8055434285622995E-2</c:v>
                </c:pt>
                <c:pt idx="4">
                  <c:v>7.4525537624361871E-2</c:v>
                </c:pt>
                <c:pt idx="5">
                  <c:v>7.2208188008329399E-2</c:v>
                </c:pt>
                <c:pt idx="6">
                  <c:v>6.0666702740677092E-2</c:v>
                </c:pt>
                <c:pt idx="7">
                  <c:v>5.9485546754354912E-2</c:v>
                </c:pt>
                <c:pt idx="8">
                  <c:v>5.9686426273517057E-2</c:v>
                </c:pt>
                <c:pt idx="9">
                  <c:v>4.545239645196375E-2</c:v>
                </c:pt>
                <c:pt idx="10">
                  <c:v>4.6586895041985432E-2</c:v>
                </c:pt>
                <c:pt idx="11">
                  <c:v>3.9403902837026994E-2</c:v>
                </c:pt>
                <c:pt idx="12">
                  <c:v>4.0865669454723363E-2</c:v>
                </c:pt>
                <c:pt idx="13">
                  <c:v>4.2050797413871077E-2</c:v>
                </c:pt>
                <c:pt idx="14">
                  <c:v>4.2396787200482455E-2</c:v>
                </c:pt>
                <c:pt idx="15">
                  <c:v>3.7716991149820078E-2</c:v>
                </c:pt>
                <c:pt idx="16">
                  <c:v>1.8595231759977571E-2</c:v>
                </c:pt>
                <c:pt idx="17">
                  <c:v>1.4828696006126352E-2</c:v>
                </c:pt>
                <c:pt idx="18">
                  <c:v>1.3566808099272132E-2</c:v>
                </c:pt>
                <c:pt idx="19">
                  <c:v>2.0465448606716397E-2</c:v>
                </c:pt>
                <c:pt idx="20">
                  <c:v>1.9395871106089535E-2</c:v>
                </c:pt>
                <c:pt idx="21">
                  <c:v>3.0240862429426585E-2</c:v>
                </c:pt>
                <c:pt idx="22">
                  <c:v>4.0089598679087235E-2</c:v>
                </c:pt>
                <c:pt idx="23">
                  <c:v>4.7899890658113398E-2</c:v>
                </c:pt>
                <c:pt idx="24">
                  <c:v>5.657027551254501E-2</c:v>
                </c:pt>
                <c:pt idx="25">
                  <c:v>6.114684693823591E-2</c:v>
                </c:pt>
                <c:pt idx="26">
                  <c:v>6.3370904505528181E-2</c:v>
                </c:pt>
                <c:pt idx="27">
                  <c:v>5.4708511822422645E-2</c:v>
                </c:pt>
                <c:pt idx="28">
                  <c:v>7.1308020839824682E-2</c:v>
                </c:pt>
                <c:pt idx="29">
                  <c:v>7.5882223474235788E-2</c:v>
                </c:pt>
                <c:pt idx="30">
                  <c:v>9.2322142589633671E-2</c:v>
                </c:pt>
                <c:pt idx="31">
                  <c:v>0.10017589143048466</c:v>
                </c:pt>
                <c:pt idx="32">
                  <c:v>0.12063043465415313</c:v>
                </c:pt>
                <c:pt idx="33">
                  <c:v>0.12936915065407995</c:v>
                </c:pt>
                <c:pt idx="34">
                  <c:v>0.12725837126293693</c:v>
                </c:pt>
                <c:pt idx="35">
                  <c:v>0.12248576434334901</c:v>
                </c:pt>
                <c:pt idx="36">
                  <c:v>9.6556659058663952E-2</c:v>
                </c:pt>
                <c:pt idx="37">
                  <c:v>9.8742867040990445E-2</c:v>
                </c:pt>
                <c:pt idx="38">
                  <c:v>9.096508957689653E-2</c:v>
                </c:pt>
                <c:pt idx="39">
                  <c:v>7.8833342034142051E-2</c:v>
                </c:pt>
                <c:pt idx="40">
                  <c:v>7.4609822605347542E-2</c:v>
                </c:pt>
                <c:pt idx="41">
                  <c:v>7.4835691949951988E-2</c:v>
                </c:pt>
                <c:pt idx="42">
                  <c:v>5.8964017719352002E-2</c:v>
                </c:pt>
                <c:pt idx="43">
                  <c:v>4.8596830376852251E-2</c:v>
                </c:pt>
                <c:pt idx="44">
                  <c:v>2.1516375691406742E-2</c:v>
                </c:pt>
                <c:pt idx="45">
                  <c:v>1.082295572828107E-2</c:v>
                </c:pt>
                <c:pt idx="46">
                  <c:v>2.1309155836424232E-3</c:v>
                </c:pt>
                <c:pt idx="47">
                  <c:v>2.306267286876551E-3</c:v>
                </c:pt>
                <c:pt idx="48">
                  <c:v>1.5295288628066839E-2</c:v>
                </c:pt>
                <c:pt idx="49">
                  <c:v>8.9511261226089545E-3</c:v>
                </c:pt>
                <c:pt idx="50">
                  <c:v>9.5407401251967894E-3</c:v>
                </c:pt>
                <c:pt idx="51">
                  <c:v>1.325144239717102E-2</c:v>
                </c:pt>
                <c:pt idx="52">
                  <c:v>8.8560278160692008E-3</c:v>
                </c:pt>
                <c:pt idx="53">
                  <c:v>1.5240877886324444E-3</c:v>
                </c:pt>
                <c:pt idx="54">
                  <c:v>5.1640747957453215E-3</c:v>
                </c:pt>
                <c:pt idx="55">
                  <c:v>5.7753520319536733E-4</c:v>
                </c:pt>
                <c:pt idx="56">
                  <c:v>3.9664894687825303E-3</c:v>
                </c:pt>
                <c:pt idx="57">
                  <c:v>6.1550884109977666E-3</c:v>
                </c:pt>
                <c:pt idx="58">
                  <c:v>2.6814143224280773E-3</c:v>
                </c:pt>
                <c:pt idx="59">
                  <c:v>2.9366460503728042E-3</c:v>
                </c:pt>
                <c:pt idx="60">
                  <c:v>6.7153610374603989E-3</c:v>
                </c:pt>
                <c:pt idx="61">
                  <c:v>6.733569971344E-3</c:v>
                </c:pt>
                <c:pt idx="62">
                  <c:v>7.1281688712372393E-3</c:v>
                </c:pt>
                <c:pt idx="63">
                  <c:v>6.1937474743765097E-3</c:v>
                </c:pt>
                <c:pt idx="64">
                  <c:v>7.2854711006706818E-3</c:v>
                </c:pt>
                <c:pt idx="65">
                  <c:v>5.2594197028663636E-3</c:v>
                </c:pt>
                <c:pt idx="66">
                  <c:v>4.3245765671637848E-3</c:v>
                </c:pt>
                <c:pt idx="67">
                  <c:v>5.8182827584079E-3</c:v>
                </c:pt>
                <c:pt idx="68">
                  <c:v>1.1214918949092434E-2</c:v>
                </c:pt>
                <c:pt idx="69">
                  <c:v>7.3447436284679313E-3</c:v>
                </c:pt>
                <c:pt idx="70">
                  <c:v>1.0998774397043887E-2</c:v>
                </c:pt>
                <c:pt idx="71">
                  <c:v>1.1273275632138757E-2</c:v>
                </c:pt>
                <c:pt idx="72">
                  <c:v>7.1541634530782883E-3</c:v>
                </c:pt>
                <c:pt idx="73">
                  <c:v>-2.0821131545039062E-3</c:v>
                </c:pt>
                <c:pt idx="74">
                  <c:v>-1.6404484378887974E-3</c:v>
                </c:pt>
                <c:pt idx="75">
                  <c:v>-8.7624499810146084E-4</c:v>
                </c:pt>
                <c:pt idx="76">
                  <c:v>5.8740772955601095E-4</c:v>
                </c:pt>
                <c:pt idx="77">
                  <c:v>6.1501135719999045E-3</c:v>
                </c:pt>
                <c:pt idx="78">
                  <c:v>8.4365744643857266E-3</c:v>
                </c:pt>
                <c:pt idx="79">
                  <c:v>8.2071163386667756E-3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D8-446D-8032-82FB66DC7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556608"/>
        <c:axId val="2028515536"/>
      </c:lineChart>
      <c:catAx>
        <c:axId val="1348556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515536"/>
        <c:crosses val="autoZero"/>
        <c:auto val="1"/>
        <c:lblAlgn val="ctr"/>
        <c:lblOffset val="100"/>
        <c:noMultiLvlLbl val="0"/>
      </c:catAx>
      <c:valAx>
        <c:axId val="202851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YoY</a:t>
                </a:r>
                <a:r>
                  <a:rPr lang="en-US" baseline="0"/>
                  <a:t> Growth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55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263394228039377"/>
          <c:y val="0.43192002041411492"/>
          <c:w val="0.15929116476334498"/>
          <c:h val="0.122089995902567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[ECB Corporate Loans.xlsx]04_Policy_Regime_Rate!PivotTable3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Average Corporate Loan Rate by ECB Policy Regime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F396D"/>
          </a:solidFill>
          <a:ln>
            <a:noFill/>
          </a:ln>
          <a:effectLst/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'04_Policy_Regime_Rate'!$B$3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EF396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E6D-4431-A1EE-6DDEEFBBD3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E6D-4431-A1EE-6DDEEFBBD39E}"/>
              </c:ext>
            </c:extLst>
          </c:dPt>
          <c:cat>
            <c:strRef>
              <c:f>'04_Policy_Regime_Rate'!$A$4:$A$7</c:f>
              <c:strCache>
                <c:ptCount val="3"/>
                <c:pt idx="0">
                  <c:v>Negative Rate</c:v>
                </c:pt>
                <c:pt idx="1">
                  <c:v>Zero Rate</c:v>
                </c:pt>
                <c:pt idx="2">
                  <c:v>Positive Rate</c:v>
                </c:pt>
              </c:strCache>
            </c:strRef>
          </c:cat>
          <c:val>
            <c:numRef>
              <c:f>'04_Policy_Regime_Rate'!$B$4:$B$7</c:f>
              <c:numCache>
                <c:formatCode>0.00</c:formatCode>
                <c:ptCount val="3"/>
                <c:pt idx="0">
                  <c:v>1.2907142857142853</c:v>
                </c:pt>
                <c:pt idx="1">
                  <c:v>2.02</c:v>
                </c:pt>
                <c:pt idx="2">
                  <c:v>4.1253191489361685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D-4431-A1EE-6DDEEFBBD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7969199"/>
        <c:axId val="1486227791"/>
      </c:barChart>
      <c:catAx>
        <c:axId val="1537969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Policy Regime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227791"/>
        <c:crosses val="autoZero"/>
        <c:auto val="1"/>
        <c:lblAlgn val="ctr"/>
        <c:lblOffset val="100"/>
        <c:noMultiLvlLbl val="0"/>
      </c:catAx>
      <c:valAx>
        <c:axId val="148622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corporate loan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969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[ECB Corporate Loans.xlsx]04_Policy_Regime_Volume!PivotTable1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Average Monthly New Loan Volume by ECB Policy Regime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F396D"/>
          </a:solidFill>
          <a:ln>
            <a:noFill/>
          </a:ln>
          <a:effectLst/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'04_Policy_Regime_Volume'!$B$3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EF396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E50-475F-AE23-EE6E2E142CB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50-475F-AE23-EE6E2E142CBD}"/>
              </c:ext>
            </c:extLst>
          </c:dPt>
          <c:cat>
            <c:strRef>
              <c:f>'04_Policy_Regime_Volume'!$A$4:$A$7</c:f>
              <c:strCache>
                <c:ptCount val="3"/>
                <c:pt idx="0">
                  <c:v>Negative Rate</c:v>
                </c:pt>
                <c:pt idx="1">
                  <c:v>Zero Rate</c:v>
                </c:pt>
                <c:pt idx="2">
                  <c:v>Positive Rate</c:v>
                </c:pt>
              </c:strCache>
            </c:strRef>
          </c:cat>
          <c:val>
            <c:numRef>
              <c:f>'04_Policy_Regime_Volume'!$B$4:$B$7</c:f>
              <c:numCache>
                <c:formatCode>0.00</c:formatCode>
                <c:ptCount val="3"/>
                <c:pt idx="0">
                  <c:v>54558.309523809527</c:v>
                </c:pt>
                <c:pt idx="1">
                  <c:v>62626.5</c:v>
                </c:pt>
                <c:pt idx="2">
                  <c:v>67012.829787234048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50-475F-AE23-EE6E2E142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7951103"/>
        <c:axId val="1486140431"/>
      </c:barChart>
      <c:catAx>
        <c:axId val="1537951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Policy Regime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140431"/>
        <c:crosses val="autoZero"/>
        <c:auto val="1"/>
        <c:lblAlgn val="ctr"/>
        <c:lblOffset val="100"/>
        <c:noMultiLvlLbl val="0"/>
      </c:catAx>
      <c:valAx>
        <c:axId val="148614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monthly new loan volume (EUR mn)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95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80684</xdr:colOff>
      <xdr:row>1</xdr:row>
      <xdr:rowOff>143060</xdr:rowOff>
    </xdr:from>
    <xdr:to>
      <xdr:col>20</xdr:col>
      <xdr:colOff>238125</xdr:colOff>
      <xdr:row>30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747D5D-9441-D2B1-9651-94631C3A0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170543</xdr:colOff>
      <xdr:row>2</xdr:row>
      <xdr:rowOff>10432</xdr:rowOff>
    </xdr:from>
    <xdr:to>
      <xdr:col>17</xdr:col>
      <xdr:colOff>471715</xdr:colOff>
      <xdr:row>22</xdr:row>
      <xdr:rowOff>163286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FE533E-BA6E-3AD8-0B40-175ADB63EF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224063</xdr:colOff>
      <xdr:row>3</xdr:row>
      <xdr:rowOff>34923</xdr:rowOff>
    </xdr:from>
    <xdr:to>
      <xdr:col>17</xdr:col>
      <xdr:colOff>344713</xdr:colOff>
      <xdr:row>24</xdr:row>
      <xdr:rowOff>154213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8B6461-59A6-767C-2941-6EA00F06B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1</xdr:row>
      <xdr:rowOff>165100</xdr:rowOff>
    </xdr:from>
    <xdr:to>
      <xdr:col>10</xdr:col>
      <xdr:colOff>342900</xdr:colOff>
      <xdr:row>16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8CB379-62E0-1E4F-E398-F3C33C2164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101974</xdr:colOff>
      <xdr:row>1</xdr:row>
      <xdr:rowOff>176491</xdr:rowOff>
    </xdr:from>
    <xdr:to>
      <xdr:col>11</xdr:col>
      <xdr:colOff>264833</xdr:colOff>
      <xdr:row>22</xdr:row>
      <xdr:rowOff>31001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C7CE49-9B14-55D6-2291-201D5D589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6.665902083332" createdVersion="8" refreshedVersion="8" minRefreshableVersion="3" recordCount="91" xr:uid="{5DB763DC-3E1B-4211-8C73-74A7351E4E41}">
  <cacheSource type="worksheet">
    <worksheetSource name="analysis_calculated"/>
  </cacheSource>
  <cacheFields count="15">
    <cacheField name="DATE" numFmtId="14">
      <sharedItems containsSemiMixedTypes="0" containsNonDate="0" containsDate="1" containsString="0" minDate="2019-01-31T00:00:00" maxDate="2026-08-01T00:00:00" count="91">
        <d v="2019-01-31T00:00:00"/>
        <d v="2019-02-28T00:00:00"/>
        <d v="2019-03-31T00:00:00"/>
        <d v="2019-04-30T00:00:00"/>
        <d v="2019-05-31T00:00:00"/>
        <d v="2019-06-30T00:00:00"/>
        <d v="2019-07-31T00:00:00"/>
        <d v="2019-08-31T00:00:00"/>
        <d v="2019-09-30T00:00:00"/>
        <d v="2019-10-31T00:00:00"/>
        <d v="2019-11-30T00:00:00"/>
        <d v="2019-12-31T00:00:00"/>
        <d v="2020-01-31T00:00:00"/>
        <d v="2020-02-29T00:00:00"/>
        <d v="2020-03-31T00:00:00"/>
        <d v="2020-04-30T00:00:00"/>
        <d v="2020-05-31T00:00:00"/>
        <d v="2020-06-30T00:00:00"/>
        <d v="2020-07-31T00:00:00"/>
        <d v="2020-08-31T00:00:00"/>
        <d v="2020-09-30T00:00:00"/>
        <d v="2020-10-31T00:00:00"/>
        <d v="2020-11-30T00:00:00"/>
        <d v="2020-12-31T00:00:00"/>
        <d v="2021-01-31T00:00:00"/>
        <d v="2021-02-28T00:00:00"/>
        <d v="2021-03-31T00:00:00"/>
        <d v="2021-04-30T00:00:00"/>
        <d v="2021-05-31T00:00:00"/>
        <d v="2021-06-30T00:00:00"/>
        <d v="2021-07-31T00:00:00"/>
        <d v="2021-08-31T00:00:00"/>
        <d v="2021-09-30T00:00:00"/>
        <d v="2021-10-31T00:00:00"/>
        <d v="2021-11-30T00:00:00"/>
        <d v="2021-12-31T00:00:00"/>
        <d v="2022-01-31T00:00:00"/>
        <d v="2022-02-28T00:00:00"/>
        <d v="2022-03-31T00:00:00"/>
        <d v="2022-04-30T00:00:00"/>
        <d v="2022-05-31T00:00:00"/>
        <d v="2022-06-30T00:00:00"/>
        <d v="2022-07-31T00:00:00"/>
        <d v="2022-08-31T00:00:00"/>
        <d v="2022-09-30T00:00:00"/>
        <d v="2022-10-31T00:00:00"/>
        <d v="2022-11-30T00:00:00"/>
        <d v="2022-12-31T00:00:00"/>
        <d v="2023-01-31T00:00:00"/>
        <d v="2023-02-28T00:00:00"/>
        <d v="2023-03-31T00:00:00"/>
        <d v="2023-04-30T00:00:00"/>
        <d v="2023-05-31T00:00:00"/>
        <d v="2023-06-30T00:00:00"/>
        <d v="2023-07-31T00:00:00"/>
        <d v="2023-08-31T00:00:00"/>
        <d v="2023-09-30T00:00:00"/>
        <d v="2023-10-31T00:00:00"/>
        <d v="2023-11-30T00:00:00"/>
        <d v="2023-12-31T00:00:00"/>
        <d v="2024-01-31T00:00:00"/>
        <d v="2024-02-29T00:00:00"/>
        <d v="2024-03-31T00:00:00"/>
        <d v="2024-04-30T00:00:00"/>
        <d v="2024-05-31T00:00:00"/>
        <d v="2024-06-30T00:00:00"/>
        <d v="2024-07-31T00:00:00"/>
        <d v="2024-08-31T00:00:00"/>
        <d v="2024-09-30T00:00:00"/>
        <d v="2024-10-31T00:00:00"/>
        <d v="2024-11-30T00:00:00"/>
        <d v="2024-12-31T00:00:00"/>
        <d v="2025-01-31T00:00:00"/>
        <d v="2025-02-28T00:00:00"/>
        <d v="2025-03-31T00:00:00"/>
        <d v="2025-04-30T00:00:00"/>
        <d v="2025-05-31T00:00:00"/>
        <d v="2025-06-30T00:00:00"/>
        <d v="2025-07-31T00:00:00"/>
        <d v="2025-08-31T00:00:00"/>
        <d v="2025-09-30T00:00:00"/>
        <d v="2025-10-31T00:00:00"/>
        <d v="2025-11-30T00:00:00"/>
        <d v="2025-12-31T00:00:00"/>
        <d v="2026-01-31T00:00:00"/>
        <d v="2026-02-28T00:00:00"/>
        <d v="2026-03-31T00:00:00"/>
        <d v="2026-04-30T00:00:00"/>
        <d v="2026-05-31T00:00:00"/>
        <d v="2026-06-30T00:00:00"/>
        <d v="2026-07-31T00:00:00"/>
      </sharedItems>
      <fieldGroup par="14"/>
    </cacheField>
    <cacheField name="TIME_PERIOD" numFmtId="0">
      <sharedItems/>
    </cacheField>
    <cacheField name="Year" numFmtId="0">
      <sharedItems containsSemiMixedTypes="0" containsString="0" containsNumber="1" containsInteger="1" minValue="2019" maxValue="2026" count="8">
        <n v="2019"/>
        <n v="2020"/>
        <n v="2021"/>
        <n v="2022"/>
        <n v="2023"/>
        <n v="2024"/>
        <n v="2025"/>
        <n v="2026"/>
      </sharedItems>
    </cacheField>
    <cacheField name="Corporate_Loan_Rate" numFmtId="2">
      <sharedItems containsSemiMixedTypes="0" containsString="0" containsNumber="1" minValue="0.94" maxValue="5.45"/>
    </cacheField>
    <cacheField name="New_Loan_Volume" numFmtId="2">
      <sharedItems containsSemiMixedTypes="0" containsString="0" containsNumber="1" containsInteger="1" minValue="37482" maxValue="94842"/>
    </cacheField>
    <cacheField name="Loan_Stock" numFmtId="2">
      <sharedItems containsSemiMixedTypes="0" containsString="0" containsNumber="1" containsInteger="1" minValue="1049513" maxValue="1380906"/>
    </cacheField>
    <cacheField name="ECB_DFR" numFmtId="2">
      <sharedItems containsSemiMixedTypes="0" containsString="0" containsNumber="1" minValue="-0.5" maxValue="4"/>
    </cacheField>
    <cacheField name="Lending_Spread" numFmtId="2">
      <sharedItems containsSemiMixedTypes="0" containsString="0" containsNumber="1" minValue="0.95000000000000018" maxValue="2.87"/>
    </cacheField>
    <cacheField name="New_Loan_Volume_YoY" numFmtId="10">
      <sharedItems containsMixedTypes="1" containsNumber="1" minValue="-0.3423836573036636" maxValue="0.71672157260254132"/>
    </cacheField>
    <cacheField name="Loan_Stock _Growth_YoY" numFmtId="10">
      <sharedItems containsMixedTypes="1" containsNumber="1" minValue="-2.0821131545039062E-3" maxValue="0.12936915065407995" count="80">
        <s v=""/>
        <n v="5.4611043407752025E-2"/>
        <n v="5.3554869281879913E-2"/>
        <n v="6.8055434285622995E-2"/>
        <n v="7.4525537624361871E-2"/>
        <n v="7.2208188008329399E-2"/>
        <n v="6.0666702740677092E-2"/>
        <n v="5.9485546754354912E-2"/>
        <n v="5.9686426273517057E-2"/>
        <n v="4.545239645196375E-2"/>
        <n v="4.6586895041985432E-2"/>
        <n v="3.9403902837026994E-2"/>
        <n v="4.0865669454723363E-2"/>
        <n v="4.2050797413871077E-2"/>
        <n v="4.2396787200482455E-2"/>
        <n v="3.7716991149820078E-2"/>
        <n v="1.8595231759977571E-2"/>
        <n v="1.4828696006126352E-2"/>
        <n v="1.3566808099272132E-2"/>
        <n v="2.0465448606716397E-2"/>
        <n v="1.9395871106089535E-2"/>
        <n v="3.0240862429426585E-2"/>
        <n v="4.0089598679087235E-2"/>
        <n v="4.7899890658113398E-2"/>
        <n v="5.657027551254501E-2"/>
        <n v="6.114684693823591E-2"/>
        <n v="6.3370904505528181E-2"/>
        <n v="5.4708511822422645E-2"/>
        <n v="7.1308020839824682E-2"/>
        <n v="7.5882223474235788E-2"/>
        <n v="9.2322142589633671E-2"/>
        <n v="0.10017589143048466"/>
        <n v="0.12063043465415313"/>
        <n v="0.12936915065407995"/>
        <n v="0.12725837126293693"/>
        <n v="0.12248576434334901"/>
        <n v="9.6556659058663952E-2"/>
        <n v="9.8742867040990445E-2"/>
        <n v="9.096508957689653E-2"/>
        <n v="7.8833342034142051E-2"/>
        <n v="7.4609822605347542E-2"/>
        <n v="7.4835691949951988E-2"/>
        <n v="5.8964017719352002E-2"/>
        <n v="4.8596830376852251E-2"/>
        <n v="2.1516375691406742E-2"/>
        <n v="1.082295572828107E-2"/>
        <n v="2.1309155836424232E-3"/>
        <n v="2.306267286876551E-3"/>
        <n v="1.5295288628066839E-2"/>
        <n v="8.9511261226089545E-3"/>
        <n v="9.5407401251967894E-3"/>
        <n v="1.325144239717102E-2"/>
        <n v="8.8560278160692008E-3"/>
        <n v="1.5240877886324444E-3"/>
        <n v="5.1640747957453215E-3"/>
        <n v="5.7753520319536733E-4"/>
        <n v="3.9664894687825303E-3"/>
        <n v="6.1550884109977666E-3"/>
        <n v="2.6814143224280773E-3"/>
        <n v="2.9366460503728042E-3"/>
        <n v="6.7153610374603989E-3"/>
        <n v="6.733569971344E-3"/>
        <n v="7.1281688712372393E-3"/>
        <n v="6.1937474743765097E-3"/>
        <n v="7.2854711006706818E-3"/>
        <n v="5.2594197028663636E-3"/>
        <n v="4.3245765671637848E-3"/>
        <n v="5.8182827584079E-3"/>
        <n v="1.1214918949092434E-2"/>
        <n v="7.3447436284679313E-3"/>
        <n v="1.0998774397043887E-2"/>
        <n v="1.1273275632138757E-2"/>
        <n v="7.1541634530782883E-3"/>
        <n v="-2.0821131545039062E-3"/>
        <n v="-1.6404484378887974E-3"/>
        <n v="-8.7624499810146084E-4"/>
        <n v="5.8740772955601095E-4"/>
        <n v="6.1501135719999045E-3"/>
        <n v="8.4365744643857266E-3"/>
        <n v="8.2071163386667756E-3"/>
      </sharedItems>
    </cacheField>
    <cacheField name="New_Loan_Volume_3M_Avg" numFmtId="2">
      <sharedItems containsMixedTypes="1" containsNumber="1" minValue="44850.333333333336" maxValue="80810.333333333328"/>
    </cacheField>
    <cacheField name="ECB_DFR_Monthly_Change" numFmtId="2">
      <sharedItems containsMixedTypes="1" containsNumber="1" minValue="-0.25" maxValue="0.75"/>
    </cacheField>
    <cacheField name="Policy_Regime" numFmtId="2">
      <sharedItems count="3">
        <s v="Negative Rate"/>
        <s v="Zero Rate"/>
        <s v="Positive Rate"/>
      </sharedItems>
    </cacheField>
    <cacheField name="Months (DATE)" numFmtId="0" databaseField="0">
      <fieldGroup base="0">
        <rangePr groupBy="months" startDate="2019-01-31T00:00:00" endDate="2026-08-01T00:00:00"/>
        <groupItems count="14">
          <s v="&lt;1/3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1/2026"/>
        </groupItems>
      </fieldGroup>
    </cacheField>
    <cacheField name="Years (DATE)" numFmtId="0" databaseField="0">
      <fieldGroup base="0">
        <rangePr groupBy="years" startDate="2019-01-31T00:00:00" endDate="2026-08-01T00:00:00"/>
        <groupItems count="10">
          <s v="&lt;1/31/2019"/>
          <s v="2019"/>
          <s v="2020"/>
          <s v="2021"/>
          <s v="2022"/>
          <s v="2023"/>
          <s v="2024"/>
          <s v="2025"/>
          <s v="2026"/>
          <s v="&gt;8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x v="0"/>
    <s v="2019Jan"/>
    <x v="0"/>
    <n v="1.17"/>
    <n v="53666"/>
    <n v="1049513"/>
    <n v="-0.4"/>
    <n v="1.5699999999999998"/>
    <s v=""/>
    <x v="0"/>
    <s v=""/>
    <s v=""/>
    <x v="0"/>
  </r>
  <r>
    <x v="1"/>
    <s v="2019Feb"/>
    <x v="0"/>
    <n v="1.18"/>
    <n v="49224"/>
    <n v="1057887"/>
    <n v="-0.4"/>
    <n v="1.58"/>
    <s v=""/>
    <x v="0"/>
    <s v=""/>
    <n v="0"/>
    <x v="0"/>
  </r>
  <r>
    <x v="2"/>
    <s v="2019Mar"/>
    <x v="0"/>
    <n v="1.24"/>
    <n v="55394"/>
    <n v="1065117"/>
    <n v="-0.4"/>
    <n v="1.6400000000000001"/>
    <s v=""/>
    <x v="0"/>
    <n v="52761.333333333336"/>
    <n v="0"/>
    <x v="0"/>
  </r>
  <r>
    <x v="3"/>
    <s v="2019Apr"/>
    <x v="0"/>
    <n v="1.1499999999999999"/>
    <n v="60033"/>
    <n v="1070264"/>
    <n v="-0.4"/>
    <n v="1.5499999999999998"/>
    <s v=""/>
    <x v="0"/>
    <n v="54883.666666666664"/>
    <n v="0"/>
    <x v="0"/>
  </r>
  <r>
    <x v="4"/>
    <s v="2019May"/>
    <x v="0"/>
    <n v="1.1299999999999999"/>
    <n v="56251"/>
    <n v="1081484"/>
    <n v="-0.4"/>
    <n v="1.5299999999999998"/>
    <s v=""/>
    <x v="0"/>
    <n v="57226"/>
    <n v="0"/>
    <x v="0"/>
  </r>
  <r>
    <x v="5"/>
    <s v="2019Jun"/>
    <x v="0"/>
    <n v="1.1399999999999999"/>
    <n v="58984"/>
    <n v="1090351"/>
    <n v="-0.4"/>
    <n v="1.54"/>
    <s v=""/>
    <x v="0"/>
    <n v="58422.666666666664"/>
    <n v="0"/>
    <x v="0"/>
  </r>
  <r>
    <x v="6"/>
    <s v="2019Jul"/>
    <x v="0"/>
    <n v="1.1399999999999999"/>
    <n v="62595"/>
    <n v="1091139"/>
    <n v="-0.4"/>
    <n v="1.54"/>
    <s v=""/>
    <x v="0"/>
    <n v="59276.666666666664"/>
    <n v="0"/>
    <x v="0"/>
  </r>
  <r>
    <x v="7"/>
    <s v="2019Aug"/>
    <x v="0"/>
    <n v="1.06"/>
    <n v="50710"/>
    <n v="1096648"/>
    <n v="-0.4"/>
    <n v="1.46"/>
    <s v=""/>
    <x v="0"/>
    <n v="57429.666666666664"/>
    <n v="0"/>
    <x v="0"/>
  </r>
  <r>
    <x v="8"/>
    <s v="2019Sep"/>
    <x v="0"/>
    <n v="1.1399999999999999"/>
    <n v="58264"/>
    <n v="1099876"/>
    <n v="-0.5"/>
    <n v="1.64"/>
    <s v=""/>
    <x v="0"/>
    <n v="57189.666666666664"/>
    <n v="-9.9999999999999978E-2"/>
    <x v="0"/>
  </r>
  <r>
    <x v="9"/>
    <s v="2019Oct"/>
    <x v="0"/>
    <n v="1.18"/>
    <n v="57227"/>
    <n v="1101812"/>
    <n v="-0.5"/>
    <n v="1.68"/>
    <s v=""/>
    <x v="0"/>
    <n v="55400.333333333336"/>
    <n v="0"/>
    <x v="0"/>
  </r>
  <r>
    <x v="10"/>
    <s v="2019Nov"/>
    <x v="0"/>
    <n v="1.25"/>
    <n v="53394"/>
    <n v="1110423"/>
    <n v="-0.5"/>
    <n v="1.75"/>
    <s v=""/>
    <x v="0"/>
    <n v="56295"/>
    <n v="0"/>
    <x v="0"/>
  </r>
  <r>
    <x v="11"/>
    <s v="2019Dec"/>
    <x v="0"/>
    <n v="1.25"/>
    <n v="75436"/>
    <n v="1105549"/>
    <n v="-0.5"/>
    <n v="1.75"/>
    <s v=""/>
    <x v="0"/>
    <n v="62019"/>
    <n v="0"/>
    <x v="0"/>
  </r>
  <r>
    <x v="12"/>
    <s v="2020Jan"/>
    <x v="1"/>
    <n v="1.19"/>
    <n v="50439"/>
    <n v="1106828"/>
    <n v="-0.5"/>
    <n v="1.69"/>
    <n v="-6.0131181753810603E-2"/>
    <x v="1"/>
    <n v="59756.333333333336"/>
    <n v="0"/>
    <x v="0"/>
  </r>
  <r>
    <x v="13"/>
    <s v="2020Feb"/>
    <x v="1"/>
    <n v="1.1299999999999999"/>
    <n v="48433"/>
    <n v="1114542"/>
    <n v="-0.5"/>
    <n v="1.63"/>
    <n v="-1.6069397042093314E-2"/>
    <x v="2"/>
    <n v="58102.666666666664"/>
    <n v="0"/>
    <x v="0"/>
  </r>
  <r>
    <x v="14"/>
    <s v="2020Mar"/>
    <x v="1"/>
    <n v="1.1200000000000001"/>
    <n v="71850"/>
    <n v="1137604"/>
    <n v="-0.5"/>
    <n v="1.62"/>
    <n v="0.29707188504170134"/>
    <x v="3"/>
    <n v="56907.333333333336"/>
    <n v="0"/>
    <x v="0"/>
  </r>
  <r>
    <x v="15"/>
    <s v="2020Apr"/>
    <x v="1"/>
    <n v="1.27"/>
    <n v="57567"/>
    <n v="1150026"/>
    <n v="-0.5"/>
    <n v="1.77"/>
    <n v="-4.1077407425915702E-2"/>
    <x v="4"/>
    <n v="59283.333333333336"/>
    <n v="0"/>
    <x v="0"/>
  </r>
  <r>
    <x v="16"/>
    <s v="2020May"/>
    <x v="1"/>
    <n v="1.33"/>
    <n v="51330"/>
    <n v="1159576"/>
    <n v="-0.5"/>
    <n v="1.83"/>
    <n v="-8.7482889193081004E-2"/>
    <x v="5"/>
    <n v="60249"/>
    <n v="0"/>
    <x v="0"/>
  </r>
  <r>
    <x v="17"/>
    <s v="2020Jun"/>
    <x v="1"/>
    <n v="1.32"/>
    <n v="56293"/>
    <n v="1156499"/>
    <n v="-0.5"/>
    <n v="1.82"/>
    <n v="-4.5622541706225372E-2"/>
    <x v="6"/>
    <n v="55063.333333333336"/>
    <n v="0"/>
    <x v="0"/>
  </r>
  <r>
    <x v="18"/>
    <s v="2020Jul"/>
    <x v="1"/>
    <n v="1.43"/>
    <n v="48992"/>
    <n v="1156046"/>
    <n v="-0.5"/>
    <n v="1.93"/>
    <n v="-0.21731767713076122"/>
    <x v="7"/>
    <n v="52205"/>
    <n v="0"/>
    <x v="0"/>
  </r>
  <r>
    <x v="19"/>
    <s v="2020Aug"/>
    <x v="1"/>
    <n v="1.58"/>
    <n v="39287"/>
    <n v="1162103"/>
    <n v="-0.5"/>
    <n v="2.08"/>
    <n v="-0.22526128968645243"/>
    <x v="8"/>
    <n v="48190.666666666664"/>
    <n v="0"/>
    <x v="0"/>
  </r>
  <r>
    <x v="20"/>
    <s v="2020Sep"/>
    <x v="1"/>
    <n v="1.31"/>
    <n v="49712"/>
    <n v="1149868"/>
    <n v="-0.5"/>
    <n v="1.81"/>
    <n v="-0.14678017300562951"/>
    <x v="9"/>
    <n v="45997"/>
    <n v="0"/>
    <x v="0"/>
  </r>
  <r>
    <x v="21"/>
    <s v="2020Oct"/>
    <x v="1"/>
    <n v="1.37"/>
    <n v="46031"/>
    <n v="1153142"/>
    <n v="-0.5"/>
    <n v="1.87"/>
    <n v="-0.19564191727680991"/>
    <x v="10"/>
    <n v="45010"/>
    <n v="0"/>
    <x v="0"/>
  </r>
  <r>
    <x v="22"/>
    <s v="2020Nov"/>
    <x v="1"/>
    <n v="1.38"/>
    <n v="44795"/>
    <n v="1154178"/>
    <n v="-0.5"/>
    <n v="1.88"/>
    <n v="-0.16104805783421361"/>
    <x v="11"/>
    <n v="46846"/>
    <n v="0"/>
    <x v="0"/>
  </r>
  <r>
    <x v="23"/>
    <s v="2020Dec"/>
    <x v="1"/>
    <n v="1.31"/>
    <n v="61453"/>
    <n v="1150728"/>
    <n v="-0.5"/>
    <n v="1.81"/>
    <n v="-0.18536242642770029"/>
    <x v="12"/>
    <n v="50759.666666666664"/>
    <n v="0"/>
    <x v="0"/>
  </r>
  <r>
    <x v="24"/>
    <s v="2021Jan"/>
    <x v="2"/>
    <n v="1.29"/>
    <n v="37482"/>
    <n v="1153371"/>
    <n v="-0.5"/>
    <n v="1.79"/>
    <n v="-0.25688455361922324"/>
    <x v="13"/>
    <n v="47910"/>
    <n v="0"/>
    <x v="0"/>
  </r>
  <r>
    <x v="25"/>
    <s v="2021Feb"/>
    <x v="2"/>
    <n v="1.3"/>
    <n v="39808"/>
    <n v="1161795"/>
    <n v="-0.5"/>
    <n v="1.8"/>
    <n v="-0.17808106043400163"/>
    <x v="14"/>
    <n v="46247.666666666664"/>
    <n v="0"/>
    <x v="0"/>
  </r>
  <r>
    <x v="26"/>
    <s v="2021Mar"/>
    <x v="2"/>
    <n v="0.94"/>
    <n v="71405"/>
    <n v="1180511"/>
    <n v="-0.5"/>
    <n v="1.44"/>
    <n v="-6.1934585942936549E-3"/>
    <x v="15"/>
    <n v="49565"/>
    <n v="0"/>
    <x v="0"/>
  </r>
  <r>
    <x v="27"/>
    <s v="2021Apr"/>
    <x v="2"/>
    <n v="1.5"/>
    <n v="37857"/>
    <n v="1171411"/>
    <n v="-0.5"/>
    <n v="2"/>
    <n v="-0.3423836573036636"/>
    <x v="16"/>
    <n v="49690"/>
    <n v="0"/>
    <x v="0"/>
  </r>
  <r>
    <x v="28"/>
    <s v="2021May"/>
    <x v="2"/>
    <n v="1.25"/>
    <n v="42588"/>
    <n v="1176771"/>
    <n v="-0.5"/>
    <n v="1.75"/>
    <n v="-0.17030976037405021"/>
    <x v="17"/>
    <n v="50616.666666666664"/>
    <n v="0"/>
    <x v="0"/>
  </r>
  <r>
    <x v="29"/>
    <s v="2021Jun"/>
    <x v="2"/>
    <n v="1.27"/>
    <n v="55246"/>
    <n v="1172189"/>
    <n v="-0.5"/>
    <n v="1.77"/>
    <n v="-1.8599115342937789E-2"/>
    <x v="18"/>
    <n v="45230.333333333336"/>
    <n v="0"/>
    <x v="0"/>
  </r>
  <r>
    <x v="30"/>
    <s v="2021Jul"/>
    <x v="2"/>
    <n v="1.32"/>
    <n v="49313"/>
    <n v="1179705"/>
    <n v="-0.5"/>
    <n v="1.82"/>
    <n v="6.5520901371651785E-3"/>
    <x v="19"/>
    <n v="49049"/>
    <n v="0"/>
    <x v="0"/>
  </r>
  <r>
    <x v="31"/>
    <s v="2021Aug"/>
    <x v="2"/>
    <n v="1.23"/>
    <n v="39308"/>
    <n v="1184643"/>
    <n v="-0.5"/>
    <n v="1.73"/>
    <n v="5.3452796090303067E-4"/>
    <x v="20"/>
    <n v="47955.666666666664"/>
    <n v="0"/>
    <x v="0"/>
  </r>
  <r>
    <x v="32"/>
    <s v="2021Sep"/>
    <x v="2"/>
    <n v="1.38"/>
    <n v="45930"/>
    <n v="1184641"/>
    <n v="-0.5"/>
    <n v="1.88"/>
    <n v="-7.607821049243646E-2"/>
    <x v="21"/>
    <n v="44850.333333333336"/>
    <n v="0"/>
    <x v="0"/>
  </r>
  <r>
    <x v="33"/>
    <s v="2021Oct"/>
    <x v="2"/>
    <n v="1.1599999999999999"/>
    <n v="51018"/>
    <n v="1199371"/>
    <n v="-0.5"/>
    <n v="1.66"/>
    <n v="0.10834003171775541"/>
    <x v="22"/>
    <n v="45418.666666666664"/>
    <n v="0"/>
    <x v="0"/>
  </r>
  <r>
    <x v="34"/>
    <s v="2021Nov"/>
    <x v="2"/>
    <n v="1.1299999999999999"/>
    <n v="56535"/>
    <n v="1209463"/>
    <n v="-0.5"/>
    <n v="1.63"/>
    <n v="0.26208282174349806"/>
    <x v="23"/>
    <n v="51161"/>
    <n v="0"/>
    <x v="0"/>
  </r>
  <r>
    <x v="35"/>
    <s v="2021Dec"/>
    <x v="2"/>
    <n v="1.1499999999999999"/>
    <n v="75953"/>
    <n v="1215825"/>
    <n v="-0.5"/>
    <n v="1.65"/>
    <n v="0.23595267928335484"/>
    <x v="24"/>
    <n v="61168.666666666664"/>
    <n v="0"/>
    <x v="0"/>
  </r>
  <r>
    <x v="36"/>
    <s v="2022Jan"/>
    <x v="3"/>
    <n v="1.3"/>
    <n v="43783"/>
    <n v="1223896"/>
    <n v="-0.5"/>
    <n v="1.8"/>
    <n v="0.1681073581986019"/>
    <x v="25"/>
    <n v="58757"/>
    <n v="0"/>
    <x v="0"/>
  </r>
  <r>
    <x v="37"/>
    <s v="2022Feb"/>
    <x v="3"/>
    <n v="1.36"/>
    <n v="47988"/>
    <n v="1235419"/>
    <n v="-0.5"/>
    <n v="1.86"/>
    <n v="0.20548633440514474"/>
    <x v="26"/>
    <n v="55908"/>
    <n v="0"/>
    <x v="0"/>
  </r>
  <r>
    <x v="38"/>
    <s v="2022Mar"/>
    <x v="3"/>
    <n v="1.55"/>
    <n v="70681"/>
    <n v="1245095"/>
    <n v="-0.5"/>
    <n v="2.0499999999999998"/>
    <n v="-1.0139345984174764E-2"/>
    <x v="27"/>
    <n v="54150.666666666664"/>
    <n v="0"/>
    <x v="0"/>
  </r>
  <r>
    <x v="39"/>
    <s v="2022Apr"/>
    <x v="3"/>
    <n v="1.53"/>
    <n v="54712"/>
    <n v="1254942"/>
    <n v="-0.5"/>
    <n v="2.0300000000000002"/>
    <n v="0.44522809520035933"/>
    <x v="28"/>
    <n v="57793.666666666664"/>
    <n v="0"/>
    <x v="0"/>
  </r>
  <r>
    <x v="40"/>
    <s v="2022May"/>
    <x v="3"/>
    <n v="1.41"/>
    <n v="59640"/>
    <n v="1266067"/>
    <n v="-0.5"/>
    <n v="1.91"/>
    <n v="0.40039447731755429"/>
    <x v="29"/>
    <n v="61677.666666666664"/>
    <n v="0"/>
    <x v="0"/>
  </r>
  <r>
    <x v="41"/>
    <s v="2022Jun"/>
    <x v="3"/>
    <n v="2.37"/>
    <n v="94842"/>
    <n v="1280408"/>
    <n v="-0.5"/>
    <n v="2.87"/>
    <n v="0.71672157260254132"/>
    <x v="30"/>
    <n v="69731.333333333328"/>
    <n v="0"/>
    <x v="0"/>
  </r>
  <r>
    <x v="42"/>
    <s v="2022Jul"/>
    <x v="3"/>
    <n v="1.94"/>
    <n v="58260"/>
    <n v="1297883"/>
    <n v="0"/>
    <n v="1.94"/>
    <n v="0.18143288787946377"/>
    <x v="31"/>
    <n v="70914"/>
    <n v="0.5"/>
    <x v="1"/>
  </r>
  <r>
    <x v="43"/>
    <s v="2022Aug"/>
    <x v="3"/>
    <n v="2.1"/>
    <n v="66993"/>
    <n v="1327547"/>
    <n v="0"/>
    <n v="2.1"/>
    <n v="0.70430955530680772"/>
    <x v="32"/>
    <n v="73365"/>
    <n v="0"/>
    <x v="1"/>
  </r>
  <r>
    <x v="44"/>
    <s v="2022Sep"/>
    <x v="3"/>
    <n v="2.85"/>
    <n v="70879"/>
    <n v="1337897"/>
    <n v="0.75"/>
    <n v="2.1"/>
    <n v="0.54319616808186377"/>
    <x v="33"/>
    <n v="65377.333333333336"/>
    <n v="0.75"/>
    <x v="2"/>
  </r>
  <r>
    <x v="45"/>
    <s v="2022Oct"/>
    <x v="3"/>
    <n v="2.97"/>
    <n v="63154"/>
    <n v="1352001"/>
    <n v="0.75"/>
    <n v="2.2200000000000002"/>
    <n v="0.23787682778627151"/>
    <x v="34"/>
    <n v="67008.666666666672"/>
    <n v="0"/>
    <x v="2"/>
  </r>
  <r>
    <x v="46"/>
    <s v="2022Nov"/>
    <x v="3"/>
    <n v="3.14"/>
    <n v="56210"/>
    <n v="1357605"/>
    <n v="1.5"/>
    <n v="1.6400000000000001"/>
    <n v="-5.7486512779694188E-3"/>
    <x v="35"/>
    <n v="63414.333333333336"/>
    <n v="0.75"/>
    <x v="2"/>
  </r>
  <r>
    <x v="47"/>
    <s v="2022Dec"/>
    <x v="3"/>
    <n v="3.46"/>
    <n v="74461"/>
    <n v="1333221"/>
    <n v="2"/>
    <n v="1.46"/>
    <n v="-1.9643727041723125E-2"/>
    <x v="36"/>
    <n v="64608.333333333336"/>
    <n v="0.5"/>
    <x v="2"/>
  </r>
  <r>
    <x v="48"/>
    <s v="2023Jan"/>
    <x v="4"/>
    <n v="3.56"/>
    <n v="58268"/>
    <n v="1344747"/>
    <n v="2"/>
    <n v="1.56"/>
    <n v="0.33083616928945014"/>
    <x v="37"/>
    <n v="62979.666666666664"/>
    <n v="0"/>
    <x v="2"/>
  </r>
  <r>
    <x v="49"/>
    <s v="2023Feb"/>
    <x v="4"/>
    <n v="3.89"/>
    <n v="65700"/>
    <n v="1347799"/>
    <n v="2.5"/>
    <n v="1.3900000000000001"/>
    <n v="0.36909227306826708"/>
    <x v="38"/>
    <n v="66143"/>
    <n v="0.5"/>
    <x v="2"/>
  </r>
  <r>
    <x v="50"/>
    <s v="2023Mar"/>
    <x v="4"/>
    <n v="4.43"/>
    <n v="72597"/>
    <n v="1343250"/>
    <n v="3"/>
    <n v="1.4299999999999997"/>
    <n v="2.7107709285380865E-2"/>
    <x v="39"/>
    <n v="65521.666666666664"/>
    <n v="0.5"/>
    <x v="2"/>
  </r>
  <r>
    <x v="51"/>
    <s v="2023Apr"/>
    <x v="4"/>
    <n v="4.4400000000000004"/>
    <n v="50533"/>
    <n v="1348573"/>
    <n v="3"/>
    <n v="1.4400000000000004"/>
    <n v="-7.6381780962128998E-2"/>
    <x v="40"/>
    <n v="62943.333333333336"/>
    <n v="0"/>
    <x v="2"/>
  </r>
  <r>
    <x v="52"/>
    <s v="2023May"/>
    <x v="4"/>
    <n v="4.66"/>
    <n v="58226"/>
    <n v="1360814"/>
    <n v="3.25"/>
    <n v="1.4100000000000001"/>
    <n v="-2.370892018779347E-2"/>
    <x v="41"/>
    <n v="60452"/>
    <n v="0.25"/>
    <x v="2"/>
  </r>
  <r>
    <x v="53"/>
    <s v="2023Jun"/>
    <x v="4"/>
    <n v="4.87"/>
    <n v="67654"/>
    <n v="1355906"/>
    <n v="3.5"/>
    <n v="1.37"/>
    <n v="-0.28666624491259152"/>
    <x v="42"/>
    <n v="58804.333333333336"/>
    <n v="0.25"/>
    <x v="2"/>
  </r>
  <r>
    <x v="54"/>
    <s v="2023Jul"/>
    <x v="4"/>
    <n v="5.15"/>
    <n v="57453"/>
    <n v="1360956"/>
    <n v="3.5"/>
    <n v="1.6500000000000004"/>
    <n v="-1.3851699279093688E-2"/>
    <x v="43"/>
    <n v="61111"/>
    <n v="0"/>
    <x v="2"/>
  </r>
  <r>
    <x v="55"/>
    <s v="2023Aug"/>
    <x v="4"/>
    <n v="5.09"/>
    <n v="51977"/>
    <n v="1356111"/>
    <n v="3.75"/>
    <n v="1.3399999999999999"/>
    <n v="-0.22414282089173498"/>
    <x v="44"/>
    <n v="59028"/>
    <n v="0.25"/>
    <x v="2"/>
  </r>
  <r>
    <x v="56"/>
    <s v="2023Sep"/>
    <x v="4"/>
    <n v="5.09"/>
    <n v="57615"/>
    <n v="1352377"/>
    <n v="4"/>
    <n v="1.0899999999999999"/>
    <n v="-0.18713582302233389"/>
    <x v="45"/>
    <n v="55681.666666666664"/>
    <n v="0.25"/>
    <x v="2"/>
  </r>
  <r>
    <x v="57"/>
    <s v="2023Oct"/>
    <x v="4"/>
    <n v="5.45"/>
    <n v="51984"/>
    <n v="1354882"/>
    <n v="4"/>
    <n v="1.4500000000000002"/>
    <n v="-0.17686924026981665"/>
    <x v="46"/>
    <n v="53858.666666666664"/>
    <n v="0"/>
    <x v="2"/>
  </r>
  <r>
    <x v="58"/>
    <s v="2023Nov"/>
    <x v="4"/>
    <n v="5.13"/>
    <n v="56849"/>
    <n v="1360736"/>
    <n v="4"/>
    <n v="1.1299999999999999"/>
    <n v="1.1368083970823673E-2"/>
    <x v="47"/>
    <n v="55482.666666666664"/>
    <n v="0"/>
    <x v="2"/>
  </r>
  <r>
    <x v="59"/>
    <s v="2023Dec"/>
    <x v="4"/>
    <n v="5.13"/>
    <n v="76896"/>
    <n v="1353613"/>
    <n v="4"/>
    <n v="1.1299999999999999"/>
    <n v="3.2701682760102546E-2"/>
    <x v="48"/>
    <n v="61909.666666666664"/>
    <n v="0"/>
    <x v="2"/>
  </r>
  <r>
    <x v="60"/>
    <s v="2024Jan"/>
    <x v="5"/>
    <n v="5.07"/>
    <n v="53264"/>
    <n v="1356784"/>
    <n v="4"/>
    <n v="1.0700000000000003"/>
    <n v="-8.5879041669526979E-2"/>
    <x v="49"/>
    <n v="62336.333333333336"/>
    <n v="0"/>
    <x v="2"/>
  </r>
  <r>
    <x v="61"/>
    <s v="2024Feb"/>
    <x v="5"/>
    <n v="4.95"/>
    <n v="53919"/>
    <n v="1360658"/>
    <n v="4"/>
    <n v="0.95000000000000018"/>
    <n v="-0.17931506849315071"/>
    <x v="50"/>
    <n v="61359.666666666664"/>
    <n v="0"/>
    <x v="2"/>
  </r>
  <r>
    <x v="62"/>
    <s v="2024Mar"/>
    <x v="5"/>
    <n v="5.1100000000000003"/>
    <n v="65775"/>
    <n v="1361050"/>
    <n v="4"/>
    <n v="1.1100000000000003"/>
    <n v="-9.397082524071243E-2"/>
    <x v="51"/>
    <n v="57652.666666666664"/>
    <n v="0"/>
    <x v="2"/>
  </r>
  <r>
    <x v="63"/>
    <s v="2024Apr"/>
    <x v="5"/>
    <n v="5.13"/>
    <n v="56606"/>
    <n v="1360516"/>
    <n v="4"/>
    <n v="1.1299999999999999"/>
    <n v="0.12017889300061335"/>
    <x v="52"/>
    <n v="58766.666666666664"/>
    <n v="0"/>
    <x v="2"/>
  </r>
  <r>
    <x v="64"/>
    <s v="2024May"/>
    <x v="5"/>
    <n v="5.04"/>
    <n v="61576"/>
    <n v="1362888"/>
    <n v="4"/>
    <n v="1.04"/>
    <n v="5.7534434788582445E-2"/>
    <x v="53"/>
    <n v="61319"/>
    <n v="0"/>
    <x v="2"/>
  </r>
  <r>
    <x v="65"/>
    <s v="2024Jun"/>
    <x v="5"/>
    <n v="5.03"/>
    <n v="70123"/>
    <n v="1362908"/>
    <n v="3.75"/>
    <n v="1.2800000000000002"/>
    <n v="3.6494516214857997E-2"/>
    <x v="54"/>
    <n v="62768.333333333336"/>
    <n v="-0.25"/>
    <x v="2"/>
  </r>
  <r>
    <x v="66"/>
    <s v="2024Jul"/>
    <x v="5"/>
    <n v="4.93"/>
    <n v="60191"/>
    <n v="1361742"/>
    <n v="3.75"/>
    <n v="1.1799999999999997"/>
    <n v="4.7656345186500193E-2"/>
    <x v="55"/>
    <n v="63963.333333333336"/>
    <n v="0"/>
    <x v="2"/>
  </r>
  <r>
    <x v="67"/>
    <s v="2024Aug"/>
    <x v="5"/>
    <n v="5.03"/>
    <n v="56093"/>
    <n v="1361490"/>
    <n v="3.75"/>
    <n v="1.2800000000000002"/>
    <n v="7.9188872001077382E-2"/>
    <x v="56"/>
    <n v="62135.666666666664"/>
    <n v="0"/>
    <x v="2"/>
  </r>
  <r>
    <x v="68"/>
    <s v="2024Sep"/>
    <x v="5"/>
    <n v="4.6100000000000003"/>
    <n v="77186"/>
    <n v="1360701"/>
    <n v="3.5"/>
    <n v="1.1100000000000003"/>
    <n v="0.33968584569990457"/>
    <x v="57"/>
    <n v="64490"/>
    <n v="-0.25"/>
    <x v="2"/>
  </r>
  <r>
    <x v="69"/>
    <s v="2024Oct"/>
    <x v="5"/>
    <n v="4.63"/>
    <n v="71158"/>
    <n v="1358515"/>
    <n v="3.25"/>
    <n v="1.38"/>
    <n v="0.36884425977223767"/>
    <x v="58"/>
    <n v="68145.666666666672"/>
    <n v="-0.25"/>
    <x v="2"/>
  </r>
  <r>
    <x v="70"/>
    <s v="2024Nov"/>
    <x v="5"/>
    <n v="4.3899999999999997"/>
    <n v="58535"/>
    <n v="1364732"/>
    <n v="3.25"/>
    <n v="1.1399999999999997"/>
    <n v="2.9657513764534071E-2"/>
    <x v="59"/>
    <n v="68959.666666666672"/>
    <n v="0"/>
    <x v="2"/>
  </r>
  <r>
    <x v="71"/>
    <s v="2024Dec"/>
    <x v="5"/>
    <n v="4.24"/>
    <n v="75940"/>
    <n v="1362703"/>
    <n v="3"/>
    <n v="1.2400000000000002"/>
    <n v="-1.2432376196421124E-2"/>
    <x v="60"/>
    <n v="68544.333333333328"/>
    <n v="-0.25"/>
    <x v="2"/>
  </r>
  <r>
    <x v="72"/>
    <s v="2025Jan"/>
    <x v="6"/>
    <n v="4.24"/>
    <n v="52859"/>
    <n v="1365920"/>
    <n v="3"/>
    <n v="1.2400000000000002"/>
    <n v="-7.6036347251426939E-3"/>
    <x v="61"/>
    <n v="62444.666666666664"/>
    <n v="0"/>
    <x v="2"/>
  </r>
  <r>
    <x v="73"/>
    <s v="2025Feb"/>
    <x v="6"/>
    <n v="4.09"/>
    <n v="54450"/>
    <n v="1370357"/>
    <n v="2.75"/>
    <n v="1.3399999999999999"/>
    <n v="9.8481054915706689E-3"/>
    <x v="62"/>
    <n v="61083"/>
    <n v="-0.25"/>
    <x v="2"/>
  </r>
  <r>
    <x v="74"/>
    <s v="2025Mar"/>
    <x v="6"/>
    <n v="3.66"/>
    <n v="85751"/>
    <n v="1369480"/>
    <n v="2.5"/>
    <n v="1.1600000000000001"/>
    <n v="0.30370201444317746"/>
    <x v="63"/>
    <n v="64353.333333333336"/>
    <n v="-0.25"/>
    <x v="2"/>
  </r>
  <r>
    <x v="75"/>
    <s v="2025Apr"/>
    <x v="6"/>
    <n v="3.57"/>
    <n v="72461"/>
    <n v="1370428"/>
    <n v="2.25"/>
    <n v="1.3199999999999998"/>
    <n v="0.2800939829700031"/>
    <x v="64"/>
    <n v="70887.333333333328"/>
    <n v="-0.25"/>
    <x v="2"/>
  </r>
  <r>
    <x v="76"/>
    <s v="2025May"/>
    <x v="6"/>
    <n v="3.39"/>
    <n v="70087"/>
    <n v="1370056"/>
    <n v="2.25"/>
    <n v="1.1400000000000001"/>
    <n v="0.13821943614395216"/>
    <x v="65"/>
    <n v="76099.666666666672"/>
    <n v="0"/>
    <x v="2"/>
  </r>
  <r>
    <x v="77"/>
    <s v="2025Jun"/>
    <x v="6"/>
    <n v="3.42"/>
    <n v="80306"/>
    <n v="1368802"/>
    <n v="2"/>
    <n v="1.42"/>
    <n v="0.14521626285241651"/>
    <x v="66"/>
    <n v="74284.666666666672"/>
    <n v="-0.25"/>
    <x v="2"/>
  </r>
  <r>
    <x v="78"/>
    <s v="2025Jul"/>
    <x v="6"/>
    <n v="3.27"/>
    <n v="76197"/>
    <n v="1369665"/>
    <n v="2"/>
    <n v="1.27"/>
    <n v="0.26592015417587356"/>
    <x v="67"/>
    <n v="75530"/>
    <n v="0"/>
    <x v="2"/>
  </r>
  <r>
    <x v="79"/>
    <s v="2025Aug"/>
    <x v="6"/>
    <n v="3.13"/>
    <n v="64868"/>
    <n v="1376759"/>
    <n v="2"/>
    <n v="1.1299999999999999"/>
    <n v="0.1564366320218209"/>
    <x v="68"/>
    <n v="73790.333333333328"/>
    <n v="0"/>
    <x v="2"/>
  </r>
  <r>
    <x v="80"/>
    <s v="2025Sep"/>
    <x v="6"/>
    <n v="3.23"/>
    <n v="80367"/>
    <n v="1370695"/>
    <n v="2"/>
    <n v="1.23"/>
    <n v="4.1212136916020992E-2"/>
    <x v="69"/>
    <n v="73810.666666666672"/>
    <n v="0"/>
    <x v="2"/>
  </r>
  <r>
    <x v="81"/>
    <s v="2025Oct"/>
    <x v="6"/>
    <n v="3.25"/>
    <n v="74794"/>
    <n v="1373457"/>
    <n v="2"/>
    <n v="1.25"/>
    <n v="5.1097557547991723E-2"/>
    <x v="70"/>
    <n v="73343"/>
    <n v="0"/>
    <x v="2"/>
  </r>
  <r>
    <x v="82"/>
    <s v="2025Nov"/>
    <x v="6"/>
    <n v="3.26"/>
    <n v="75330"/>
    <n v="1380117"/>
    <n v="2"/>
    <n v="1.2599999999999998"/>
    <n v="0.28692235414709155"/>
    <x v="71"/>
    <n v="76830.333333333328"/>
    <n v="0"/>
    <x v="2"/>
  </r>
  <r>
    <x v="83"/>
    <s v="2025Dec"/>
    <x v="6"/>
    <n v="3.45"/>
    <n v="92307"/>
    <n v="1372452"/>
    <n v="2"/>
    <n v="1.4500000000000002"/>
    <n v="0.21552541480115872"/>
    <x v="72"/>
    <n v="80810.333333333328"/>
    <n v="0"/>
    <x v="2"/>
  </r>
  <r>
    <x v="84"/>
    <s v="2026Jan"/>
    <x v="7"/>
    <n v="3.39"/>
    <n v="61933"/>
    <n v="1363076"/>
    <n v="2"/>
    <n v="1.3900000000000001"/>
    <n v="0.17166423882404125"/>
    <x v="73"/>
    <n v="76523.333333333328"/>
    <n v="0"/>
    <x v="2"/>
  </r>
  <r>
    <x v="85"/>
    <s v="2026Feb"/>
    <x v="7"/>
    <n v="3.28"/>
    <n v="67661"/>
    <n v="1368109"/>
    <n v="2"/>
    <n v="1.2799999999999998"/>
    <n v="0.24262626262626252"/>
    <x v="74"/>
    <n v="73967"/>
    <n v="0"/>
    <x v="2"/>
  </r>
  <r>
    <x v="86"/>
    <s v="2026Mar"/>
    <x v="7"/>
    <n v="3.5"/>
    <n v="86234"/>
    <n v="1368280"/>
    <n v="2"/>
    <n v="1.5"/>
    <n v="5.6325873750744382E-3"/>
    <x v="75"/>
    <n v="71942.666666666672"/>
    <n v="0"/>
    <x v="2"/>
  </r>
  <r>
    <x v="87"/>
    <s v="2026Apr"/>
    <x v="7"/>
    <n v="3.48"/>
    <n v="69790"/>
    <n v="1371233"/>
    <n v="2"/>
    <n v="1.48"/>
    <n v="-3.6861208098149301E-2"/>
    <x v="76"/>
    <n v="74561.666666666672"/>
    <n v="0"/>
    <x v="2"/>
  </r>
  <r>
    <x v="88"/>
    <s v="2026May"/>
    <x v="7"/>
    <n v="3.4"/>
    <n v="72760"/>
    <n v="1378482"/>
    <n v="2"/>
    <n v="1.4"/>
    <n v="3.8138313809979119E-2"/>
    <x v="77"/>
    <n v="76261.333333333328"/>
    <n v="0"/>
    <x v="2"/>
  </r>
  <r>
    <x v="89"/>
    <s v="2026Jun"/>
    <x v="7"/>
    <n v="3.72"/>
    <n v="86130"/>
    <n v="1380350"/>
    <n v="2.25"/>
    <n v="1.4700000000000002"/>
    <n v="7.2522601050980073E-2"/>
    <x v="78"/>
    <n v="76226.666666666672"/>
    <n v="0.25"/>
    <x v="2"/>
  </r>
  <r>
    <x v="90"/>
    <s v="2026Jul"/>
    <x v="7"/>
    <n v="3.69"/>
    <n v="74496"/>
    <n v="1380906"/>
    <n v="2.25"/>
    <n v="1.44"/>
    <n v="-2.2323713532028777E-2"/>
    <x v="79"/>
    <n v="77795.333333333328"/>
    <n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A81F6-FF7D-47FE-961A-AC56609FC02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Month">
  <location ref="A3:C103" firstHeaderRow="0" firstDataRow="1" firstDataCol="1"/>
  <pivotFields count="15">
    <pivotField numFmtId="14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dataField="1" numFmtId="2" showAll="0"/>
    <pivotField numFmtId="2" showAll="0"/>
    <pivotField numFmtId="2" showAll="0"/>
    <pivotField dataField="1" numFmtId="2" showAll="0"/>
    <pivotField numFmtId="2"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2">
    <field x="14"/>
    <field x="13"/>
  </rowFields>
  <rowItems count="100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rporate Loan Rate" fld="3" subtotal="average" baseField="0" baseItem="0" numFmtId="2"/>
    <dataField name="ECB DFR" fld="6" subtotal="average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BEA5C7-1180-42ED-9C8D-7C728AB4365A}" name="PivotTable4" cacheId="0" applyNumberFormats="0" applyBorderFormats="0" applyFontFormats="0" applyPatternFormats="0" applyAlignmentFormats="0" applyWidthHeightFormats="1" dataCaption="Values" showError="1" updatedVersion="8" minRefreshableVersion="3" useAutoFormatting="1" itemPrintTitles="1" createdVersion="8" indent="0" outline="1" outlineData="1" multipleFieldFilters="0" chartFormat="2" rowHeaderCaption="Month">
  <location ref="A3:C103" firstHeaderRow="0" firstDataRow="1" firstDataCol="1"/>
  <pivotFields count="15">
    <pivotField numFmtId="14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numFmtId="2" showAll="0"/>
    <pivotField dataField="1" numFmtId="2" showAll="0"/>
    <pivotField numFmtId="2" showAll="0"/>
    <pivotField numFmtId="2" showAll="0"/>
    <pivotField numFmtId="2" showAll="0"/>
    <pivotField showAll="0"/>
    <pivotField showAll="0"/>
    <pivotField dataField="1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2">
    <field x="14"/>
    <field x="13"/>
  </rowFields>
  <rowItems count="100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New Loan Volume" fld="4" baseField="0" baseItem="0" numFmtId="2"/>
    <dataField name="3M Moving Average" fld="10" subtotal="average" baseField="0" baseItem="0"/>
  </dataFields>
  <formats count="1">
    <format dxfId="14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3" count="1" selected="0">
            <x v="6"/>
          </reference>
          <reference field="1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A10CF8-23AD-40EF-800D-6FE511454A06}" name="PivotTable5" cacheId="0" applyNumberFormats="0" applyBorderFormats="0" applyFontFormats="0" applyPatternFormats="0" applyAlignmentFormats="0" applyWidthHeightFormats="1" dataCaption="Values" showError="1" updatedVersion="8" minRefreshableVersion="3" useAutoFormatting="1" itemPrintTitles="1" createdVersion="8" indent="0" outline="1" outlineData="1" multipleFieldFilters="0" chartFormat="7" rowHeaderCaption="Month">
  <location ref="A3:C91" firstHeaderRow="0" firstDataRow="1" firstDataCol="1"/>
  <pivotFields count="15">
    <pivotField numFmtId="14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dataField="1" showAll="0"/>
    <pivotField dataField="1" showAll="0">
      <items count="81">
        <item x="73"/>
        <item x="74"/>
        <item x="75"/>
        <item x="55"/>
        <item x="76"/>
        <item x="53"/>
        <item x="46"/>
        <item x="47"/>
        <item x="58"/>
        <item x="59"/>
        <item x="56"/>
        <item x="66"/>
        <item x="54"/>
        <item x="65"/>
        <item x="67"/>
        <item x="77"/>
        <item x="57"/>
        <item x="63"/>
        <item x="60"/>
        <item x="61"/>
        <item x="62"/>
        <item x="72"/>
        <item x="64"/>
        <item x="69"/>
        <item x="79"/>
        <item x="78"/>
        <item x="52"/>
        <item x="49"/>
        <item x="50"/>
        <item x="45"/>
        <item x="70"/>
        <item x="68"/>
        <item x="71"/>
        <item x="51"/>
        <item x="18"/>
        <item x="17"/>
        <item x="48"/>
        <item x="16"/>
        <item x="20"/>
        <item x="19"/>
        <item x="44"/>
        <item x="21"/>
        <item x="15"/>
        <item x="11"/>
        <item x="22"/>
        <item x="12"/>
        <item x="13"/>
        <item x="14"/>
        <item x="9"/>
        <item x="10"/>
        <item x="23"/>
        <item x="43"/>
        <item x="2"/>
        <item x="1"/>
        <item x="27"/>
        <item x="24"/>
        <item x="42"/>
        <item x="7"/>
        <item x="8"/>
        <item x="6"/>
        <item x="25"/>
        <item x="26"/>
        <item x="3"/>
        <item x="28"/>
        <item x="5"/>
        <item x="4"/>
        <item x="40"/>
        <item x="41"/>
        <item x="29"/>
        <item x="39"/>
        <item x="38"/>
        <item x="30"/>
        <item x="36"/>
        <item x="37"/>
        <item x="31"/>
        <item x="32"/>
        <item x="35"/>
        <item x="34"/>
        <item x="33"/>
        <item x="0"/>
        <item t="default"/>
      </items>
    </pivotField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11">
        <item x="0"/>
        <item sd="0"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2">
    <field x="14"/>
    <field x="13"/>
  </rowFields>
  <rowItems count="88">
    <i>
      <x v="1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New Loan Volume YoY" fld="8" subtotal="average" baseField="0" baseItem="0"/>
    <dataField name="Loan Stock Growth YoY" fld="9" subtotal="average" baseField="14" baseItem="1"/>
  </dataFields>
  <formats count="1">
    <format dxfId="13">
      <pivotArea outline="0" collapsedLevelsAreSubtotals="1" fieldPosition="0"/>
    </format>
  </format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E9E7D9-AA5F-45D8-9EF0-E16A18F3FBC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olicy Regime">
  <location ref="A3:B7" firstHeaderRow="1" firstDataRow="1" firstDataCol="1"/>
  <pivotFields count="15">
    <pivotField numFmtId="14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dataField="1"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 defaultSubtotal="0"/>
    <pivotField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corporate loan rate (%)" fld="3" subtotal="average" baseField="12" baseItem="0" numFmtId="2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1CB8DB-63BA-4431-876A-AFF9C54A7A5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olicy Regime">
  <location ref="A3:B7" firstHeaderRow="1" firstDataRow="1" firstDataCol="1"/>
  <pivotFields count="15">
    <pivotField numFmtId="14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numFmtId="2" showAll="0"/>
    <pivotField dataField="1"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 defaultSubtotal="0"/>
    <pivotField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monthly new loan volume" fld="4" subtotal="average" baseField="12" baseItem="0" numFmtId="2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472240-5596-4BA4-8290-61FDC1DA0596}" name="PivotTable1" cacheId="0" applyNumberFormats="0" applyBorderFormats="0" applyFontFormats="0" applyPatternFormats="0" applyAlignmentFormats="0" applyWidthHeightFormats="1" dataCaption="Values" showError="1" updatedVersion="8" minRefreshableVersion="3" useAutoFormatting="1" itemPrintTitles="1" createdVersion="8" indent="0" outline="1" outlineData="1" multipleFieldFilters="0" chartFormat="2" rowHeaderCaption="Year">
  <location ref="A3:H12" firstHeaderRow="0" firstDataRow="1" firstDataCol="1"/>
  <pivotFields count="15">
    <pivotField numFmtId="14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showAll="0"/>
    <pivotField dataField="1" showAll="0">
      <items count="81">
        <item x="73"/>
        <item x="74"/>
        <item x="75"/>
        <item x="55"/>
        <item x="76"/>
        <item x="53"/>
        <item x="46"/>
        <item x="47"/>
        <item x="58"/>
        <item x="59"/>
        <item x="56"/>
        <item x="66"/>
        <item x="54"/>
        <item x="65"/>
        <item x="67"/>
        <item x="77"/>
        <item x="57"/>
        <item x="63"/>
        <item x="60"/>
        <item x="61"/>
        <item x="62"/>
        <item x="72"/>
        <item x="64"/>
        <item x="69"/>
        <item x="79"/>
        <item x="78"/>
        <item x="52"/>
        <item x="49"/>
        <item x="50"/>
        <item x="45"/>
        <item x="70"/>
        <item x="68"/>
        <item x="71"/>
        <item x="51"/>
        <item x="18"/>
        <item x="17"/>
        <item x="48"/>
        <item x="16"/>
        <item x="20"/>
        <item x="19"/>
        <item x="44"/>
        <item x="21"/>
        <item x="15"/>
        <item x="11"/>
        <item x="22"/>
        <item x="12"/>
        <item x="13"/>
        <item x="14"/>
        <item x="9"/>
        <item x="10"/>
        <item x="23"/>
        <item x="43"/>
        <item x="2"/>
        <item x="1"/>
        <item x="27"/>
        <item x="24"/>
        <item x="42"/>
        <item x="7"/>
        <item x="8"/>
        <item x="6"/>
        <item x="25"/>
        <item x="26"/>
        <item x="3"/>
        <item x="28"/>
        <item x="5"/>
        <item x="4"/>
        <item x="40"/>
        <item x="41"/>
        <item x="29"/>
        <item x="39"/>
        <item x="38"/>
        <item x="30"/>
        <item x="36"/>
        <item x="37"/>
        <item x="31"/>
        <item x="32"/>
        <item x="35"/>
        <item x="34"/>
        <item x="33"/>
        <item x="0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verage of ECB_DFR" fld="6" subtotal="average" baseField="2" baseItem="0" numFmtId="2"/>
    <dataField name="Average of Corporate_Loan_Rate" fld="3" subtotal="average" baseField="2" baseItem="0" numFmtId="2"/>
    <dataField name="Average of New_Loan_Volume" fld="4" subtotal="average" baseField="2" baseItem="0" numFmtId="2"/>
    <dataField name="Average of Loan_Stock" fld="5" subtotal="average" baseField="2" baseItem="0" numFmtId="2"/>
    <dataField name="Average of Lending_Spread" fld="7" subtotal="average" baseField="2" baseItem="0" numFmtId="2"/>
    <dataField name="Average of New_Loan_Volume_YoY" fld="8" subtotal="average" baseField="2" baseItem="0" numFmtId="10"/>
    <dataField name="Average of Loan_Stock _Growth_YoY" fld="9" subtotal="average" baseField="2" baseItem="0" numFmtId="10"/>
  </dataFields>
  <formats count="2">
    <format dxfId="12">
      <pivotArea outline="0" collapsedLevelsAreSubtotals="1" fieldPosition="0">
        <references count="1">
          <reference field="4294967294" count="2" selected="0">
            <x v="5"/>
            <x v="6"/>
          </reference>
        </references>
      </pivotArea>
    </format>
    <format dxfId="11">
      <pivotArea dataOnly="0" labelOnly="1" outline="0" fieldPosition="0">
        <references count="1">
          <reference field="4294967294" count="2"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CB86430-B0C3-4197-8BB1-21597EFE5313}" name="analysis_calculated" displayName="analysis_calculated" ref="A1:M92" totalsRowShown="0" headerRowDxfId="0">
  <autoFilter ref="A1:M92" xr:uid="{DCB86430-B0C3-4197-8BB1-21597EFE5313}"/>
  <tableColumns count="13">
    <tableColumn id="1" xr3:uid="{D87B434E-2D07-4812-8B23-5ED29551D850}" name="DATE" dataDxfId="47"/>
    <tableColumn id="2" xr3:uid="{38437316-2887-4C0D-B20D-3451B9C922C7}" name="TIME_PERIOD"/>
    <tableColumn id="35" xr3:uid="{CB8F164C-5820-4C53-9170-E0013508CC97}" name="Year" dataDxfId="46">
      <calculatedColumnFormula>YEAR(analysis_calculated[[#This Row],[DATE]])</calculatedColumnFormula>
    </tableColumn>
    <tableColumn id="3" xr3:uid="{8593C1C6-D658-42B6-924B-71AA77D74FF0}" name="Corporate_Loan_Rate" dataDxfId="45"/>
    <tableColumn id="6" xr3:uid="{3096036B-1FF3-4AB4-B041-B890EE4AA207}" name="New_Loan_Volume" dataDxfId="44"/>
    <tableColumn id="5" xr3:uid="{FE0F012F-53D4-4B26-B4A4-4B7E398BC662}" name="Loan_Stock" dataDxfId="43"/>
    <tableColumn id="7" xr3:uid="{D6ED4C74-E95A-4D64-8664-B7361D8985C6}" name="ECB_DFR" dataDxfId="42">
      <calculatedColumnFormula>_xlfn.XLOOKUP(analysis_calculated[[#This Row],[DATE]],Table1[DATE],Table1[Deposit facility - date of changes (raw data) - Level (FM.D.U2.EUR.4F.KR.DFR.LEV)],,-1)</calculatedColumnFormula>
    </tableColumn>
    <tableColumn id="8" xr3:uid="{B2B8A065-639B-4AEA-A8E3-F49CA49C63A7}" name="Lending_Spread" dataDxfId="41">
      <calculatedColumnFormula>analysis_calculated[[#This Row],[Corporate_Loan_Rate]]-analysis_calculated[[#This Row],[ECB_DFR]]</calculatedColumnFormula>
    </tableColumn>
    <tableColumn id="9" xr3:uid="{A6A1FDF8-BA0D-41F6-9EAF-0151C5D32F1D}" name="New_Loan_Volume_YoY" dataDxfId="40" dataCellStyle="Percent">
      <calculatedColumnFormula>IFERROR(analysis_calculated[[#This Row],[New_Loan_Volume]]/_xlfn.XLOOKUP(EOMONTH(analysis_calculated[[#This Row],[DATE]],-12),analysis_calculated[DATE],analysis_calculated[New_Loan_Volume])-1,"")</calculatedColumnFormula>
    </tableColumn>
    <tableColumn id="10" xr3:uid="{86B38D26-240B-4CCF-9B25-9EA5EED58B0A}" name="Loan_Stock _Growth_YoY" dataDxfId="39" dataCellStyle="Percent">
      <calculatedColumnFormula>IFERROR(analysis_calculated[[#This Row],[Loan_Stock]]/_xlfn.XLOOKUP(EOMONTH(analysis_calculated[[#This Row],[DATE]],-12),analysis_calculated[DATE],analysis_calculated[Loan_Stock])-1,"")</calculatedColumnFormula>
    </tableColumn>
    <tableColumn id="18" xr3:uid="{0086FBC6-30B4-4A80-B830-B02C1C1DFB8E}" name="New_Loan_Volume_3M_Avg" dataDxfId="38">
      <calculatedColumnFormula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calculatedColumnFormula>
    </tableColumn>
    <tableColumn id="37" xr3:uid="{1B5F200C-D5FB-4F34-BCB2-033E1B8D737D}" name="ECB_DFR_Monthly_Change" dataDxfId="37">
      <calculatedColumnFormula>_xlfn.IFNA(analysis_calculated[[#This Row],[ECB_DFR]]-_xlfn.XLOOKUP(EOMONTH(analysis_calculated[[#This Row],[DATE]],-1),analysis_calculated[DATE],analysis_calculated[ECB_DFR]),"")</calculatedColumnFormula>
    </tableColumn>
    <tableColumn id="4" xr3:uid="{E67F7B52-CFFF-424D-BAAE-FAE1E5CA6991}" name="Policy_Regime" dataDxfId="36">
      <calculatedColumnFormula>IF(analysis_calculated[[#This Row],[ECB_DFR]]&lt;0,"Negative Rate",IF(analysis_calculated[[#This Row],[ECB_DFR]]=0,"Zero Rate","Positive Rate"))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26F2642-A3DE-4496-86F8-C066CD4FE7A1}" name="Table7" displayName="Table7" ref="U1:Y7" totalsRowShown="0" headerRowDxfId="2" dataDxfId="35">
  <autoFilter ref="U1:Y7" xr:uid="{126F2642-A3DE-4496-86F8-C066CD4FE7A1}"/>
  <tableColumns count="5">
    <tableColumn id="1" xr3:uid="{120B9FB4-B0CC-4029-9BF0-260D526F315B}" name="Metric" dataDxfId="34"/>
    <tableColumn id="2" xr3:uid="{45F5E0A3-4B54-4453-9EAE-266019A7F14E}" name="Corporate_Loan_Rate" dataDxfId="33">
      <calculatedColumnFormula>COUNT(analysis_calculated[Corporate_Loan_Rate])</calculatedColumnFormula>
    </tableColumn>
    <tableColumn id="3" xr3:uid="{35EDE35E-6087-4DCB-9BFE-AD4B26401033}" name="New_Loan_Volume" dataDxfId="32">
      <calculatedColumnFormula>COUNT(analysis_calculated[New_Loan_Volume])</calculatedColumnFormula>
    </tableColumn>
    <tableColumn id="4" xr3:uid="{068FF936-ED85-498E-B4C2-3287BCEC2DBC}" name="Loan_Stock" dataDxfId="31">
      <calculatedColumnFormula>COUNT(analysis_calculated[Loan_Stock])</calculatedColumnFormula>
    </tableColumn>
    <tableColumn id="5" xr3:uid="{832FE923-C6A6-4B40-A234-A537E6B4B8F5}" name="ECB_DFR" dataDxfId="30">
      <calculatedColumnFormula>COUNT(analysis_calculated[Lending_Spread])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4518994-2F07-415A-AD92-82624B8755A0}" name="data_validation" displayName="data_validation" ref="A1:S92" totalsRowShown="0" headerRowDxfId="1">
  <autoFilter ref="A1:S92" xr:uid="{04518994-2F07-415A-AD92-82624B8755A0}"/>
  <tableColumns count="19">
    <tableColumn id="1" xr3:uid="{C628C10E-2499-43E0-925C-950B518B3048}" name="DATE" dataDxfId="29"/>
    <tableColumn id="2" xr3:uid="{65E23054-F1B9-4AAA-A6B0-B2BD90B4C55A}" name="TIME_PERIOD"/>
    <tableColumn id="35" xr3:uid="{A4FB9946-4ACE-4874-A039-29BCBFCA5C08}" name="Year" dataDxfId="28">
      <calculatedColumnFormula>YEAR(data_validation[[#This Row],[DATE]])</calculatedColumnFormula>
    </tableColumn>
    <tableColumn id="3" xr3:uid="{78480B19-46E6-424B-997D-C1D6115D746B}" name="Corporate_Loan_Rate" dataDxfId="27"/>
    <tableColumn id="6" xr3:uid="{A7C95C41-94D2-46B8-A445-36863178C73E}" name="New_Loan_Volume" dataDxfId="26"/>
    <tableColumn id="5" xr3:uid="{A1C6A5A0-FFD4-4FAA-AADE-A04B30B648CE}" name="Loan_Stock" dataDxfId="25"/>
    <tableColumn id="7" xr3:uid="{7619B913-616B-49C3-82E8-8B26FDC010DA}" name="ECB_DFR" dataDxfId="24">
      <calculatedColumnFormula>_xlfn.XLOOKUP(data_validation[[#This Row],[DATE]],Table1[DATE],Table1[Deposit facility - date of changes (raw data) - Level (FM.D.U2.EUR.4F.KR.DFR.LEV)],,-1)</calculatedColumnFormula>
    </tableColumn>
    <tableColumn id="8" xr3:uid="{03A47947-D357-4E13-B792-29FB87306465}" name="Lending_Spread" dataDxfId="23">
      <calculatedColumnFormula>data_validation[[#This Row],[Corporate_Loan_Rate]]-data_validation[[#This Row],[ECB_DFR]]</calculatedColumnFormula>
    </tableColumn>
    <tableColumn id="9" xr3:uid="{42965DAF-530E-4024-A5DD-D3DB997A2DA0}" name="New_Loan_Volume_YoY" dataDxfId="22" dataCellStyle="Percent">
      <calculatedColumnFormula>IFERROR(data_validation[[#This Row],[New_Loan_Volume]]/_xlfn.XLOOKUP(EOMONTH(data_validation[[#This Row],[DATE]],-12),data_validation[DATE],data_validation[New_Loan_Volume])-1,"")</calculatedColumnFormula>
    </tableColumn>
    <tableColumn id="10" xr3:uid="{4A6D5D0C-E286-42D0-93E7-A9DFBF203ADB}" name="Loan_Stock _Growth_YoY" dataDxfId="21" dataCellStyle="Percent">
      <calculatedColumnFormula>IFERROR(data_validation[[#This Row],[Loan_Stock]]/_xlfn.XLOOKUP(EOMONTH(data_validation[[#This Row],[DATE]],-12),data_validation[DATE],data_validation[Loan_Stock])-1,"")</calculatedColumnFormula>
    </tableColumn>
    <tableColumn id="18" xr3:uid="{28D0311A-368F-4BF8-9B8E-85919E987093}" name="New_Loan_Volume_3M_Avg" dataDxfId="20">
      <calculatedColumnFormula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calculatedColumnFormula>
    </tableColumn>
    <tableColumn id="26" xr3:uid="{A3C31CBD-33F4-4F67-99BD-350B4AE93DD7}" name="Duplicate_Check" dataDxfId="19">
      <calculatedColumnFormula>COUNTIF(data_validation[DATE],data_validation[[#This Row],[DATE]])</calculatedColumnFormula>
    </tableColumn>
    <tableColumn id="27" xr3:uid="{38A3D4A3-A259-4035-820E-17A19D5C9F9C}" name="Missing_Corporate_Loan_Rate" dataDxfId="18">
      <calculatedColumnFormula>COUNTBLANK(data_validation[[#This Row],[Corporate_Loan_Rate]])</calculatedColumnFormula>
    </tableColumn>
    <tableColumn id="28" xr3:uid="{13518F23-FEAA-4C1B-90D3-D5035288F787}" name="Missing_New_Loan_Volume" dataDxfId="17">
      <calculatedColumnFormula>COUNTBLANK(data_validation[[#This Row],[New_Loan_Volume]])</calculatedColumnFormula>
    </tableColumn>
    <tableColumn id="29" xr3:uid="{6C5CFB73-BC7F-495F-9B3E-9E168DCF3132}" name="Missing_Loan_Stock" dataDxfId="16">
      <calculatedColumnFormula>COUNTBLANK(data_validation[[#This Row],[Loan_Stock]])</calculatedColumnFormula>
    </tableColumn>
    <tableColumn id="30" xr3:uid="{DE102108-8BCD-49DA-9D03-0B59D468F1FA}" name="Missing_ECB_DFR">
      <calculatedColumnFormula>COUNTBLANK(data_validation[[#This Row],[ECB_DFR]])</calculatedColumnFormula>
    </tableColumn>
    <tableColumn id="31" xr3:uid="{D05765D9-872F-4C62-925F-0A2FEF11FD88}" name="Monthly_Continuity" dataDxfId="3">
      <calculatedColumnFormula>--(A3=EOMONTH(A2,1))</calculatedColumnFormula>
    </tableColumn>
    <tableColumn id="32" xr3:uid="{4ECA1835-A8C7-4222-A05C-444F0621D37E}" name="Negative_New_Loan_Volume_Check" dataDxfId="15">
      <calculatedColumnFormula>COUNTIF(data_validation[[#This Row],[New_Loan_Volume]],"&lt;0")</calculatedColumnFormula>
    </tableColumn>
    <tableColumn id="33" xr3:uid="{E4707111-A79A-4E02-86A7-2AE9FD6F9A7F}" name="Negative_New_Loan_Volume_Check2">
      <calculatedColumnFormula>COUNTIF(data_validation[[#This Row],[Loan_Stock]],"&lt;0")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B61EA4-60CC-48BF-AAAE-782E791F59D5}" name="Table1" displayName="Table1" ref="A1:E2808" totalsRowShown="0">
  <autoFilter ref="A1:E2808" xr:uid="{B2BE0441-2F8B-48D5-8973-823DB7370421}"/>
  <tableColumns count="5">
    <tableColumn id="1" xr3:uid="{EA9A3C03-176A-4173-AE39-55FDE619AD9B}" name="DATE" dataDxfId="10"/>
    <tableColumn id="2" xr3:uid="{D6D1AF8E-85DD-416D-B862-8CB729BE4259}" name="TIME PERIOD" dataDxfId="9"/>
    <tableColumn id="3" xr3:uid="{F04131DB-1395-4260-B54D-0A1458BBE6ED}" name="Deposit facility - date of changes (raw data) - Level (FM.D.U2.EUR.4F.KR.DFR.LEV)"/>
    <tableColumn id="4" xr3:uid="{3E00D364-07B5-4D2B-93D8-38AAFEC79208}" name="Marginal lending facility - date of changes (raw data) - Level (FM.D.U2.EUR.4F.KR.MLFR.LEV)"/>
    <tableColumn id="5" xr3:uid="{18F40808-6552-466B-AD0C-EF967039E622}" name="Main refinancing operations - Minimum bid rate/fixed rate (date of changes) - Level (FM.D.U2.EUR.4F.KR.MRR_RT.LEV)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18C1EC-B6E5-4755-ACE0-F7283271E756}" name="Table15" displayName="Table15" ref="A1:C92" totalsRowShown="0">
  <autoFilter ref="A1:C92" xr:uid="{668AB118-2F72-46B1-A7AB-07C126073497}"/>
  <tableColumns count="3">
    <tableColumn id="1" xr3:uid="{978772AB-E6BD-4741-9D7A-EC31478A5ED2}" name="DATE" dataDxfId="7"/>
    <tableColumn id="2" xr3:uid="{068C7D1F-7C76-4325-B4CD-E8AEEDB26D5B}" name="TIME PERIOD"/>
    <tableColumn id="3" xr3:uid="{B5FFDA84-ABD5-4E03-94E9-1B55A8060886}" name="Bank interest rates - loans to corporations (pure new loans)  (MIR.M.DE.B.A2A.A.R.A.2240.EUR.P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092C3C-B40C-4A87-9AA1-028F558D7BC5}" name="Table14" displayName="Table14" ref="A1:C92" totalsRowShown="0">
  <autoFilter ref="A1:C92" xr:uid="{7356534B-47F3-4CCB-87B8-AAE436E36D16}"/>
  <tableColumns count="3">
    <tableColumn id="1" xr3:uid="{0C0853C1-F7DE-44A7-9CCD-7F1B2EA518C9}" name="DATE" dataDxfId="6"/>
    <tableColumn id="2" xr3:uid="{9DC224B6-4A45-4E02-89C3-73889FABF71C}" name="TIME PERIOD"/>
    <tableColumn id="3" xr3:uid="{4B5C5B3F-E19C-4C14-AF73-ABFF499EF8F4}" name="Loans to euro area NFCs granted by MFIs excluding NCB, Stocks (BSI.M.DE.N.A.A20.A.1.U2.2240.Z01.E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40A6C1-854C-4E07-80DC-A697E3124F9D}" name="Table13" displayName="Table13" ref="A1:C92" totalsRowShown="0">
  <autoFilter ref="A1:C92" xr:uid="{8D7C5D31-26B0-49D5-B8AF-BA4D3C85AE09}"/>
  <tableColumns count="3">
    <tableColumn id="1" xr3:uid="{E3BB0EED-3E4B-4545-897B-5B20C154B511}" name="DATE" dataDxfId="5"/>
    <tableColumn id="2" xr3:uid="{B0A950D1-8413-4CAB-A5F3-C287D2FF8BEA}" name="TIME PERIOD"/>
    <tableColumn id="3" xr3:uid="{FB2085FB-C366-4F1D-946C-724A84CAC1E2}" name="Bank business volumes - loans to corporations (pure new loans)  (MIR.M.DE.B.A2A.A.B.A.2240.EUR.P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A766B-BC72-479B-A53A-1538A3435A40}">
  <sheetPr codeName="Sheet1"/>
  <dimension ref="A1:M92"/>
  <sheetViews>
    <sheetView tabSelected="1" zoomScale="70" zoomScaleNormal="70" workbookViewId="0">
      <selection activeCell="O10" sqref="O10"/>
    </sheetView>
  </sheetViews>
  <sheetFormatPr defaultRowHeight="14.5" x14ac:dyDescent="0.35"/>
  <cols>
    <col min="1" max="1" width="12.6328125" style="1" customWidth="1"/>
    <col min="2" max="13" width="12.6328125" customWidth="1"/>
  </cols>
  <sheetData>
    <row r="1" spans="1:13" s="14" customFormat="1" ht="29" x14ac:dyDescent="0.35">
      <c r="A1" s="14" t="s">
        <v>0</v>
      </c>
      <c r="B1" s="14" t="s">
        <v>99</v>
      </c>
      <c r="C1" s="14" t="s">
        <v>116</v>
      </c>
      <c r="D1" s="14" t="s">
        <v>100</v>
      </c>
      <c r="E1" s="14" t="s">
        <v>101</v>
      </c>
      <c r="F1" s="14" t="s">
        <v>102</v>
      </c>
      <c r="G1" s="14" t="s">
        <v>103</v>
      </c>
      <c r="H1" s="14" t="s">
        <v>104</v>
      </c>
      <c r="I1" s="14" t="s">
        <v>105</v>
      </c>
      <c r="J1" s="14" t="s">
        <v>132</v>
      </c>
      <c r="K1" s="14" t="s">
        <v>106</v>
      </c>
      <c r="L1" s="14" t="s">
        <v>131</v>
      </c>
      <c r="M1" s="14" t="s">
        <v>157</v>
      </c>
    </row>
    <row r="2" spans="1:13" x14ac:dyDescent="0.35">
      <c r="A2" s="1">
        <v>43496</v>
      </c>
      <c r="B2" t="s">
        <v>6</v>
      </c>
      <c r="C2">
        <f>YEAR(analysis_calculated[[#This Row],[DATE]])</f>
        <v>2019</v>
      </c>
      <c r="D2" s="4">
        <v>1.17</v>
      </c>
      <c r="E2" s="4">
        <v>53666</v>
      </c>
      <c r="F2" s="4">
        <v>1049513</v>
      </c>
      <c r="G2" s="4">
        <f>_xlfn.XLOOKUP(analysis_calculated[[#This Row],[DATE]],Table1[DATE],Table1[Deposit facility - date of changes (raw data) - Level (FM.D.U2.EUR.4F.KR.DFR.LEV)],,-1)</f>
        <v>-0.4</v>
      </c>
      <c r="H2" s="4">
        <f>analysis_calculated[[#This Row],[Corporate_Loan_Rate]]-analysis_calculated[[#This Row],[ECB_DFR]]</f>
        <v>1.5699999999999998</v>
      </c>
      <c r="I2" s="5" t="str">
        <f>IFERROR(analysis_calculated[[#This Row],[New_Loan_Volume]]/_xlfn.XLOOKUP(EOMONTH(analysis_calculated[[#This Row],[DATE]],-12),analysis_calculated[DATE],analysis_calculated[New_Loan_Volume])-1,"")</f>
        <v/>
      </c>
      <c r="J2" s="5" t="str">
        <f>IFERROR(analysis_calculated[[#This Row],[Loan_Stock]]/_xlfn.XLOOKUP(EOMONTH(analysis_calculated[[#This Row],[DATE]],-12),analysis_calculated[DATE],analysis_calculated[Loan_Stock])-1,"")</f>
        <v/>
      </c>
      <c r="K2" s="4" t="str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/>
      </c>
      <c r="L2" s="4" t="str">
        <f>_xlfn.IFNA(analysis_calculated[[#This Row],[ECB_DFR]]-_xlfn.XLOOKUP(EOMONTH(analysis_calculated[[#This Row],[DATE]],-1),analysis_calculated[DATE],analysis_calculated[ECB_DFR]),"")</f>
        <v/>
      </c>
      <c r="M2" s="4" t="str">
        <f>IF(analysis_calculated[[#This Row],[ECB_DFR]]&lt;0,"Negative Rate",IF(analysis_calculated[[#This Row],[ECB_DFR]]=0,"Zero Rate","Positive Rate"))</f>
        <v>Negative Rate</v>
      </c>
    </row>
    <row r="3" spans="1:13" x14ac:dyDescent="0.35">
      <c r="A3" s="1">
        <v>43524</v>
      </c>
      <c r="B3" t="s">
        <v>7</v>
      </c>
      <c r="C3">
        <f>YEAR(analysis_calculated[[#This Row],[DATE]])</f>
        <v>2019</v>
      </c>
      <c r="D3" s="4">
        <v>1.18</v>
      </c>
      <c r="E3" s="4">
        <v>49224</v>
      </c>
      <c r="F3" s="4">
        <v>1057887</v>
      </c>
      <c r="G3" s="4">
        <f>_xlfn.XLOOKUP(analysis_calculated[[#This Row],[DATE]],Table1[DATE],Table1[Deposit facility - date of changes (raw data) - Level (FM.D.U2.EUR.4F.KR.DFR.LEV)],,-1)</f>
        <v>-0.4</v>
      </c>
      <c r="H3" s="4">
        <f>analysis_calculated[[#This Row],[Corporate_Loan_Rate]]-analysis_calculated[[#This Row],[ECB_DFR]]</f>
        <v>1.58</v>
      </c>
      <c r="I3" s="5" t="str">
        <f>IFERROR(analysis_calculated[[#This Row],[New_Loan_Volume]]/_xlfn.XLOOKUP(EOMONTH(analysis_calculated[[#This Row],[DATE]],-12),analysis_calculated[DATE],analysis_calculated[New_Loan_Volume])-1,"")</f>
        <v/>
      </c>
      <c r="J3" s="5" t="str">
        <f>IFERROR(analysis_calculated[[#This Row],[Loan_Stock]]/_xlfn.XLOOKUP(EOMONTH(analysis_calculated[[#This Row],[DATE]],-12),analysis_calculated[DATE],analysis_calculated[Loan_Stock])-1,"")</f>
        <v/>
      </c>
      <c r="K3" s="4" t="str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/>
      </c>
      <c r="L3" s="4">
        <f>_xlfn.IFNA(analysis_calculated[[#This Row],[ECB_DFR]]-_xlfn.XLOOKUP(EOMONTH(analysis_calculated[[#This Row],[DATE]],-1),analysis_calculated[DATE],analysis_calculated[ECB_DFR]),"")</f>
        <v>0</v>
      </c>
      <c r="M3" s="4" t="str">
        <f>IF(analysis_calculated[[#This Row],[ECB_DFR]]&lt;0,"Negative Rate",IF(analysis_calculated[[#This Row],[ECB_DFR]]=0,"Zero Rate","Positive Rate"))</f>
        <v>Negative Rate</v>
      </c>
    </row>
    <row r="4" spans="1:13" x14ac:dyDescent="0.35">
      <c r="A4" s="1">
        <v>43555</v>
      </c>
      <c r="B4" t="s">
        <v>8</v>
      </c>
      <c r="C4">
        <f>YEAR(analysis_calculated[[#This Row],[DATE]])</f>
        <v>2019</v>
      </c>
      <c r="D4" s="4">
        <v>1.24</v>
      </c>
      <c r="E4" s="4">
        <v>55394</v>
      </c>
      <c r="F4" s="4">
        <v>1065117</v>
      </c>
      <c r="G4" s="4">
        <f>_xlfn.XLOOKUP(analysis_calculated[[#This Row],[DATE]],Table1[DATE],Table1[Deposit facility - date of changes (raw data) - Level (FM.D.U2.EUR.4F.KR.DFR.LEV)],,-1)</f>
        <v>-0.4</v>
      </c>
      <c r="H4" s="4">
        <f>analysis_calculated[[#This Row],[Corporate_Loan_Rate]]-analysis_calculated[[#This Row],[ECB_DFR]]</f>
        <v>1.6400000000000001</v>
      </c>
      <c r="I4" s="5" t="str">
        <f>IFERROR(analysis_calculated[[#This Row],[New_Loan_Volume]]/_xlfn.XLOOKUP(EOMONTH(analysis_calculated[[#This Row],[DATE]],-12),analysis_calculated[DATE],analysis_calculated[New_Loan_Volume])-1,"")</f>
        <v/>
      </c>
      <c r="J4" s="5" t="str">
        <f>IFERROR(analysis_calculated[[#This Row],[Loan_Stock]]/_xlfn.XLOOKUP(EOMONTH(analysis_calculated[[#This Row],[DATE]],-12),analysis_calculated[DATE],analysis_calculated[Loan_Stock])-1,"")</f>
        <v/>
      </c>
      <c r="K4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52761.333333333336</v>
      </c>
      <c r="L4" s="4">
        <f>_xlfn.IFNA(analysis_calculated[[#This Row],[ECB_DFR]]-_xlfn.XLOOKUP(EOMONTH(analysis_calculated[[#This Row],[DATE]],-1),analysis_calculated[DATE],analysis_calculated[ECB_DFR]),"")</f>
        <v>0</v>
      </c>
      <c r="M4" s="4" t="str">
        <f>IF(analysis_calculated[[#This Row],[ECB_DFR]]&lt;0,"Negative Rate",IF(analysis_calculated[[#This Row],[ECB_DFR]]=0,"Zero Rate","Positive Rate"))</f>
        <v>Negative Rate</v>
      </c>
    </row>
    <row r="5" spans="1:13" x14ac:dyDescent="0.35">
      <c r="A5" s="1">
        <v>43585</v>
      </c>
      <c r="B5" t="s">
        <v>9</v>
      </c>
      <c r="C5">
        <f>YEAR(analysis_calculated[[#This Row],[DATE]])</f>
        <v>2019</v>
      </c>
      <c r="D5" s="4">
        <v>1.1499999999999999</v>
      </c>
      <c r="E5" s="4">
        <v>60033</v>
      </c>
      <c r="F5" s="4">
        <v>1070264</v>
      </c>
      <c r="G5" s="4">
        <f>_xlfn.XLOOKUP(analysis_calculated[[#This Row],[DATE]],Table1[DATE],Table1[Deposit facility - date of changes (raw data) - Level (FM.D.U2.EUR.4F.KR.DFR.LEV)],,-1)</f>
        <v>-0.4</v>
      </c>
      <c r="H5" s="4">
        <f>analysis_calculated[[#This Row],[Corporate_Loan_Rate]]-analysis_calculated[[#This Row],[ECB_DFR]]</f>
        <v>1.5499999999999998</v>
      </c>
      <c r="I5" s="5" t="str">
        <f>IFERROR(analysis_calculated[[#This Row],[New_Loan_Volume]]/_xlfn.XLOOKUP(EOMONTH(analysis_calculated[[#This Row],[DATE]],-12),analysis_calculated[DATE],analysis_calculated[New_Loan_Volume])-1,"")</f>
        <v/>
      </c>
      <c r="J5" s="5" t="str">
        <f>IFERROR(analysis_calculated[[#This Row],[Loan_Stock]]/_xlfn.XLOOKUP(EOMONTH(analysis_calculated[[#This Row],[DATE]],-12),analysis_calculated[DATE],analysis_calculated[Loan_Stock])-1,"")</f>
        <v/>
      </c>
      <c r="K5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54883.666666666664</v>
      </c>
      <c r="L5" s="4">
        <f>_xlfn.IFNA(analysis_calculated[[#This Row],[ECB_DFR]]-_xlfn.XLOOKUP(EOMONTH(analysis_calculated[[#This Row],[DATE]],-1),analysis_calculated[DATE],analysis_calculated[ECB_DFR]),"")</f>
        <v>0</v>
      </c>
      <c r="M5" s="4" t="str">
        <f>IF(analysis_calculated[[#This Row],[ECB_DFR]]&lt;0,"Negative Rate",IF(analysis_calculated[[#This Row],[ECB_DFR]]=0,"Zero Rate","Positive Rate"))</f>
        <v>Negative Rate</v>
      </c>
    </row>
    <row r="6" spans="1:13" x14ac:dyDescent="0.35">
      <c r="A6" s="1">
        <v>43616</v>
      </c>
      <c r="B6" t="s">
        <v>10</v>
      </c>
      <c r="C6">
        <f>YEAR(analysis_calculated[[#This Row],[DATE]])</f>
        <v>2019</v>
      </c>
      <c r="D6" s="4">
        <v>1.1299999999999999</v>
      </c>
      <c r="E6" s="4">
        <v>56251</v>
      </c>
      <c r="F6" s="4">
        <v>1081484</v>
      </c>
      <c r="G6" s="4">
        <f>_xlfn.XLOOKUP(analysis_calculated[[#This Row],[DATE]],Table1[DATE],Table1[Deposit facility - date of changes (raw data) - Level (FM.D.U2.EUR.4F.KR.DFR.LEV)],,-1)</f>
        <v>-0.4</v>
      </c>
      <c r="H6" s="4">
        <f>analysis_calculated[[#This Row],[Corporate_Loan_Rate]]-analysis_calculated[[#This Row],[ECB_DFR]]</f>
        <v>1.5299999999999998</v>
      </c>
      <c r="I6" s="5" t="str">
        <f>IFERROR(analysis_calculated[[#This Row],[New_Loan_Volume]]/_xlfn.XLOOKUP(EOMONTH(analysis_calculated[[#This Row],[DATE]],-12),analysis_calculated[DATE],analysis_calculated[New_Loan_Volume])-1,"")</f>
        <v/>
      </c>
      <c r="J6" s="5" t="str">
        <f>IFERROR(analysis_calculated[[#This Row],[Loan_Stock]]/_xlfn.XLOOKUP(EOMONTH(analysis_calculated[[#This Row],[DATE]],-12),analysis_calculated[DATE],analysis_calculated[Loan_Stock])-1,"")</f>
        <v/>
      </c>
      <c r="K6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57226</v>
      </c>
      <c r="L6" s="4">
        <f>_xlfn.IFNA(analysis_calculated[[#This Row],[ECB_DFR]]-_xlfn.XLOOKUP(EOMONTH(analysis_calculated[[#This Row],[DATE]],-1),analysis_calculated[DATE],analysis_calculated[ECB_DFR]),"")</f>
        <v>0</v>
      </c>
      <c r="M6" s="4" t="str">
        <f>IF(analysis_calculated[[#This Row],[ECB_DFR]]&lt;0,"Negative Rate",IF(analysis_calculated[[#This Row],[ECB_DFR]]=0,"Zero Rate","Positive Rate"))</f>
        <v>Negative Rate</v>
      </c>
    </row>
    <row r="7" spans="1:13" x14ac:dyDescent="0.35">
      <c r="A7" s="1">
        <v>43646</v>
      </c>
      <c r="B7" t="s">
        <v>11</v>
      </c>
      <c r="C7">
        <f>YEAR(analysis_calculated[[#This Row],[DATE]])</f>
        <v>2019</v>
      </c>
      <c r="D7" s="4">
        <v>1.1399999999999999</v>
      </c>
      <c r="E7" s="4">
        <v>58984</v>
      </c>
      <c r="F7" s="4">
        <v>1090351</v>
      </c>
      <c r="G7" s="4">
        <f>_xlfn.XLOOKUP(analysis_calculated[[#This Row],[DATE]],Table1[DATE],Table1[Deposit facility - date of changes (raw data) - Level (FM.D.U2.EUR.4F.KR.DFR.LEV)],,-1)</f>
        <v>-0.4</v>
      </c>
      <c r="H7" s="4">
        <f>analysis_calculated[[#This Row],[Corporate_Loan_Rate]]-analysis_calculated[[#This Row],[ECB_DFR]]</f>
        <v>1.54</v>
      </c>
      <c r="I7" s="5" t="str">
        <f>IFERROR(analysis_calculated[[#This Row],[New_Loan_Volume]]/_xlfn.XLOOKUP(EOMONTH(analysis_calculated[[#This Row],[DATE]],-12),analysis_calculated[DATE],analysis_calculated[New_Loan_Volume])-1,"")</f>
        <v/>
      </c>
      <c r="J7" s="5" t="str">
        <f>IFERROR(analysis_calculated[[#This Row],[Loan_Stock]]/_xlfn.XLOOKUP(EOMONTH(analysis_calculated[[#This Row],[DATE]],-12),analysis_calculated[DATE],analysis_calculated[Loan_Stock])-1,"")</f>
        <v/>
      </c>
      <c r="K7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58422.666666666664</v>
      </c>
      <c r="L7" s="4">
        <f>_xlfn.IFNA(analysis_calculated[[#This Row],[ECB_DFR]]-_xlfn.XLOOKUP(EOMONTH(analysis_calculated[[#This Row],[DATE]],-1),analysis_calculated[DATE],analysis_calculated[ECB_DFR]),"")</f>
        <v>0</v>
      </c>
      <c r="M7" s="4" t="str">
        <f>IF(analysis_calculated[[#This Row],[ECB_DFR]]&lt;0,"Negative Rate",IF(analysis_calculated[[#This Row],[ECB_DFR]]=0,"Zero Rate","Positive Rate"))</f>
        <v>Negative Rate</v>
      </c>
    </row>
    <row r="8" spans="1:13" x14ac:dyDescent="0.35">
      <c r="A8" s="1">
        <v>43677</v>
      </c>
      <c r="B8" t="s">
        <v>12</v>
      </c>
      <c r="C8">
        <f>YEAR(analysis_calculated[[#This Row],[DATE]])</f>
        <v>2019</v>
      </c>
      <c r="D8" s="4">
        <v>1.1399999999999999</v>
      </c>
      <c r="E8" s="4">
        <v>62595</v>
      </c>
      <c r="F8" s="4">
        <v>1091139</v>
      </c>
      <c r="G8" s="4">
        <f>_xlfn.XLOOKUP(analysis_calculated[[#This Row],[DATE]],Table1[DATE],Table1[Deposit facility - date of changes (raw data) - Level (FM.D.U2.EUR.4F.KR.DFR.LEV)],,-1)</f>
        <v>-0.4</v>
      </c>
      <c r="H8" s="4">
        <f>analysis_calculated[[#This Row],[Corporate_Loan_Rate]]-analysis_calculated[[#This Row],[ECB_DFR]]</f>
        <v>1.54</v>
      </c>
      <c r="I8" s="5" t="str">
        <f>IFERROR(analysis_calculated[[#This Row],[New_Loan_Volume]]/_xlfn.XLOOKUP(EOMONTH(analysis_calculated[[#This Row],[DATE]],-12),analysis_calculated[DATE],analysis_calculated[New_Loan_Volume])-1,"")</f>
        <v/>
      </c>
      <c r="J8" s="5" t="str">
        <f>IFERROR(analysis_calculated[[#This Row],[Loan_Stock]]/_xlfn.XLOOKUP(EOMONTH(analysis_calculated[[#This Row],[DATE]],-12),analysis_calculated[DATE],analysis_calculated[Loan_Stock])-1,"")</f>
        <v/>
      </c>
      <c r="K8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59276.666666666664</v>
      </c>
      <c r="L8" s="4">
        <f>_xlfn.IFNA(analysis_calculated[[#This Row],[ECB_DFR]]-_xlfn.XLOOKUP(EOMONTH(analysis_calculated[[#This Row],[DATE]],-1),analysis_calculated[DATE],analysis_calculated[ECB_DFR]),"")</f>
        <v>0</v>
      </c>
      <c r="M8" s="4" t="str">
        <f>IF(analysis_calculated[[#This Row],[ECB_DFR]]&lt;0,"Negative Rate",IF(analysis_calculated[[#This Row],[ECB_DFR]]=0,"Zero Rate","Positive Rate"))</f>
        <v>Negative Rate</v>
      </c>
    </row>
    <row r="9" spans="1:13" x14ac:dyDescent="0.35">
      <c r="A9" s="1">
        <v>43708</v>
      </c>
      <c r="B9" t="s">
        <v>13</v>
      </c>
      <c r="C9">
        <f>YEAR(analysis_calculated[[#This Row],[DATE]])</f>
        <v>2019</v>
      </c>
      <c r="D9" s="4">
        <v>1.06</v>
      </c>
      <c r="E9" s="4">
        <v>50710</v>
      </c>
      <c r="F9" s="4">
        <v>1096648</v>
      </c>
      <c r="G9" s="4">
        <f>_xlfn.XLOOKUP(analysis_calculated[[#This Row],[DATE]],Table1[DATE],Table1[Deposit facility - date of changes (raw data) - Level (FM.D.U2.EUR.4F.KR.DFR.LEV)],,-1)</f>
        <v>-0.4</v>
      </c>
      <c r="H9" s="4">
        <f>analysis_calculated[[#This Row],[Corporate_Loan_Rate]]-analysis_calculated[[#This Row],[ECB_DFR]]</f>
        <v>1.46</v>
      </c>
      <c r="I9" s="5" t="str">
        <f>IFERROR(analysis_calculated[[#This Row],[New_Loan_Volume]]/_xlfn.XLOOKUP(EOMONTH(analysis_calculated[[#This Row],[DATE]],-12),analysis_calculated[DATE],analysis_calculated[New_Loan_Volume])-1,"")</f>
        <v/>
      </c>
      <c r="J9" s="5" t="str">
        <f>IFERROR(analysis_calculated[[#This Row],[Loan_Stock]]/_xlfn.XLOOKUP(EOMONTH(analysis_calculated[[#This Row],[DATE]],-12),analysis_calculated[DATE],analysis_calculated[Loan_Stock])-1,"")</f>
        <v/>
      </c>
      <c r="K9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57429.666666666664</v>
      </c>
      <c r="L9" s="4">
        <f>_xlfn.IFNA(analysis_calculated[[#This Row],[ECB_DFR]]-_xlfn.XLOOKUP(EOMONTH(analysis_calculated[[#This Row],[DATE]],-1),analysis_calculated[DATE],analysis_calculated[ECB_DFR]),"")</f>
        <v>0</v>
      </c>
      <c r="M9" s="4" t="str">
        <f>IF(analysis_calculated[[#This Row],[ECB_DFR]]&lt;0,"Negative Rate",IF(analysis_calculated[[#This Row],[ECB_DFR]]=0,"Zero Rate","Positive Rate"))</f>
        <v>Negative Rate</v>
      </c>
    </row>
    <row r="10" spans="1:13" x14ac:dyDescent="0.35">
      <c r="A10" s="1">
        <v>43738</v>
      </c>
      <c r="B10" t="s">
        <v>14</v>
      </c>
      <c r="C10">
        <f>YEAR(analysis_calculated[[#This Row],[DATE]])</f>
        <v>2019</v>
      </c>
      <c r="D10" s="4">
        <v>1.1399999999999999</v>
      </c>
      <c r="E10" s="4">
        <v>58264</v>
      </c>
      <c r="F10" s="4">
        <v>1099876</v>
      </c>
      <c r="G10" s="4">
        <f>_xlfn.XLOOKUP(analysis_calculated[[#This Row],[DATE]],Table1[DATE],Table1[Deposit facility - date of changes (raw data) - Level (FM.D.U2.EUR.4F.KR.DFR.LEV)],,-1)</f>
        <v>-0.5</v>
      </c>
      <c r="H10" s="4">
        <f>analysis_calculated[[#This Row],[Corporate_Loan_Rate]]-analysis_calculated[[#This Row],[ECB_DFR]]</f>
        <v>1.64</v>
      </c>
      <c r="I10" s="5" t="str">
        <f>IFERROR(analysis_calculated[[#This Row],[New_Loan_Volume]]/_xlfn.XLOOKUP(EOMONTH(analysis_calculated[[#This Row],[DATE]],-12),analysis_calculated[DATE],analysis_calculated[New_Loan_Volume])-1,"")</f>
        <v/>
      </c>
      <c r="J10" s="5" t="str">
        <f>IFERROR(analysis_calculated[[#This Row],[Loan_Stock]]/_xlfn.XLOOKUP(EOMONTH(analysis_calculated[[#This Row],[DATE]],-12),analysis_calculated[DATE],analysis_calculated[Loan_Stock])-1,"")</f>
        <v/>
      </c>
      <c r="K10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57189.666666666664</v>
      </c>
      <c r="L10" s="4">
        <f>_xlfn.IFNA(analysis_calculated[[#This Row],[ECB_DFR]]-_xlfn.XLOOKUP(EOMONTH(analysis_calculated[[#This Row],[DATE]],-1),analysis_calculated[DATE],analysis_calculated[ECB_DFR]),"")</f>
        <v>-9.9999999999999978E-2</v>
      </c>
      <c r="M10" s="4" t="str">
        <f>IF(analysis_calculated[[#This Row],[ECB_DFR]]&lt;0,"Negative Rate",IF(analysis_calculated[[#This Row],[ECB_DFR]]=0,"Zero Rate","Positive Rate"))</f>
        <v>Negative Rate</v>
      </c>
    </row>
    <row r="11" spans="1:13" x14ac:dyDescent="0.35">
      <c r="A11" s="1">
        <v>43769</v>
      </c>
      <c r="B11" t="s">
        <v>15</v>
      </c>
      <c r="C11">
        <f>YEAR(analysis_calculated[[#This Row],[DATE]])</f>
        <v>2019</v>
      </c>
      <c r="D11" s="4">
        <v>1.18</v>
      </c>
      <c r="E11" s="4">
        <v>57227</v>
      </c>
      <c r="F11" s="4">
        <v>1101812</v>
      </c>
      <c r="G11" s="4">
        <f>_xlfn.XLOOKUP(analysis_calculated[[#This Row],[DATE]],Table1[DATE],Table1[Deposit facility - date of changes (raw data) - Level (FM.D.U2.EUR.4F.KR.DFR.LEV)],,-1)</f>
        <v>-0.5</v>
      </c>
      <c r="H11" s="4">
        <f>analysis_calculated[[#This Row],[Corporate_Loan_Rate]]-analysis_calculated[[#This Row],[ECB_DFR]]</f>
        <v>1.68</v>
      </c>
      <c r="I11" s="5" t="str">
        <f>IFERROR(analysis_calculated[[#This Row],[New_Loan_Volume]]/_xlfn.XLOOKUP(EOMONTH(analysis_calculated[[#This Row],[DATE]],-12),analysis_calculated[DATE],analysis_calculated[New_Loan_Volume])-1,"")</f>
        <v/>
      </c>
      <c r="J11" s="5" t="str">
        <f>IFERROR(analysis_calculated[[#This Row],[Loan_Stock]]/_xlfn.XLOOKUP(EOMONTH(analysis_calculated[[#This Row],[DATE]],-12),analysis_calculated[DATE],analysis_calculated[Loan_Stock])-1,"")</f>
        <v/>
      </c>
      <c r="K11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55400.333333333336</v>
      </c>
      <c r="L11" s="4">
        <f>_xlfn.IFNA(analysis_calculated[[#This Row],[ECB_DFR]]-_xlfn.XLOOKUP(EOMONTH(analysis_calculated[[#This Row],[DATE]],-1),analysis_calculated[DATE],analysis_calculated[ECB_DFR]),"")</f>
        <v>0</v>
      </c>
      <c r="M11" s="4" t="str">
        <f>IF(analysis_calculated[[#This Row],[ECB_DFR]]&lt;0,"Negative Rate",IF(analysis_calculated[[#This Row],[ECB_DFR]]=0,"Zero Rate","Positive Rate"))</f>
        <v>Negative Rate</v>
      </c>
    </row>
    <row r="12" spans="1:13" x14ac:dyDescent="0.35">
      <c r="A12" s="1">
        <v>43799</v>
      </c>
      <c r="B12" t="s">
        <v>16</v>
      </c>
      <c r="C12">
        <f>YEAR(analysis_calculated[[#This Row],[DATE]])</f>
        <v>2019</v>
      </c>
      <c r="D12" s="4">
        <v>1.25</v>
      </c>
      <c r="E12" s="4">
        <v>53394</v>
      </c>
      <c r="F12" s="4">
        <v>1110423</v>
      </c>
      <c r="G12" s="4">
        <f>_xlfn.XLOOKUP(analysis_calculated[[#This Row],[DATE]],Table1[DATE],Table1[Deposit facility - date of changes (raw data) - Level (FM.D.U2.EUR.4F.KR.DFR.LEV)],,-1)</f>
        <v>-0.5</v>
      </c>
      <c r="H12" s="4">
        <f>analysis_calculated[[#This Row],[Corporate_Loan_Rate]]-analysis_calculated[[#This Row],[ECB_DFR]]</f>
        <v>1.75</v>
      </c>
      <c r="I12" s="5" t="str">
        <f>IFERROR(analysis_calculated[[#This Row],[New_Loan_Volume]]/_xlfn.XLOOKUP(EOMONTH(analysis_calculated[[#This Row],[DATE]],-12),analysis_calculated[DATE],analysis_calculated[New_Loan_Volume])-1,"")</f>
        <v/>
      </c>
      <c r="J12" s="5" t="str">
        <f>IFERROR(analysis_calculated[[#This Row],[Loan_Stock]]/_xlfn.XLOOKUP(EOMONTH(analysis_calculated[[#This Row],[DATE]],-12),analysis_calculated[DATE],analysis_calculated[Loan_Stock])-1,"")</f>
        <v/>
      </c>
      <c r="K12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56295</v>
      </c>
      <c r="L12" s="4">
        <f>_xlfn.IFNA(analysis_calculated[[#This Row],[ECB_DFR]]-_xlfn.XLOOKUP(EOMONTH(analysis_calculated[[#This Row],[DATE]],-1),analysis_calculated[DATE],analysis_calculated[ECB_DFR]),"")</f>
        <v>0</v>
      </c>
      <c r="M12" s="4" t="str">
        <f>IF(analysis_calculated[[#This Row],[ECB_DFR]]&lt;0,"Negative Rate",IF(analysis_calculated[[#This Row],[ECB_DFR]]=0,"Zero Rate","Positive Rate"))</f>
        <v>Negative Rate</v>
      </c>
    </row>
    <row r="13" spans="1:13" x14ac:dyDescent="0.35">
      <c r="A13" s="1">
        <v>43830</v>
      </c>
      <c r="B13" t="s">
        <v>17</v>
      </c>
      <c r="C13">
        <f>YEAR(analysis_calculated[[#This Row],[DATE]])</f>
        <v>2019</v>
      </c>
      <c r="D13" s="4">
        <v>1.25</v>
      </c>
      <c r="E13" s="4">
        <v>75436</v>
      </c>
      <c r="F13" s="4">
        <v>1105549</v>
      </c>
      <c r="G13" s="4">
        <f>_xlfn.XLOOKUP(analysis_calculated[[#This Row],[DATE]],Table1[DATE],Table1[Deposit facility - date of changes (raw data) - Level (FM.D.U2.EUR.4F.KR.DFR.LEV)],,-1)</f>
        <v>-0.5</v>
      </c>
      <c r="H13" s="4">
        <f>analysis_calculated[[#This Row],[Corporate_Loan_Rate]]-analysis_calculated[[#This Row],[ECB_DFR]]</f>
        <v>1.75</v>
      </c>
      <c r="I13" s="5" t="str">
        <f>IFERROR(analysis_calculated[[#This Row],[New_Loan_Volume]]/_xlfn.XLOOKUP(EOMONTH(analysis_calculated[[#This Row],[DATE]],-12),analysis_calculated[DATE],analysis_calculated[New_Loan_Volume])-1,"")</f>
        <v/>
      </c>
      <c r="J13" s="5" t="str">
        <f>IFERROR(analysis_calculated[[#This Row],[Loan_Stock]]/_xlfn.XLOOKUP(EOMONTH(analysis_calculated[[#This Row],[DATE]],-12),analysis_calculated[DATE],analysis_calculated[Loan_Stock])-1,"")</f>
        <v/>
      </c>
      <c r="K13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62019</v>
      </c>
      <c r="L13" s="4">
        <f>_xlfn.IFNA(analysis_calculated[[#This Row],[ECB_DFR]]-_xlfn.XLOOKUP(EOMONTH(analysis_calculated[[#This Row],[DATE]],-1),analysis_calculated[DATE],analysis_calculated[ECB_DFR]),"")</f>
        <v>0</v>
      </c>
      <c r="M13" s="4" t="str">
        <f>IF(analysis_calculated[[#This Row],[ECB_DFR]]&lt;0,"Negative Rate",IF(analysis_calculated[[#This Row],[ECB_DFR]]=0,"Zero Rate","Positive Rate"))</f>
        <v>Negative Rate</v>
      </c>
    </row>
    <row r="14" spans="1:13" x14ac:dyDescent="0.35">
      <c r="A14" s="1">
        <v>43861</v>
      </c>
      <c r="B14" t="s">
        <v>18</v>
      </c>
      <c r="C14">
        <f>YEAR(analysis_calculated[[#This Row],[DATE]])</f>
        <v>2020</v>
      </c>
      <c r="D14" s="4">
        <v>1.19</v>
      </c>
      <c r="E14" s="4">
        <v>50439</v>
      </c>
      <c r="F14" s="4">
        <v>1106828</v>
      </c>
      <c r="G14" s="4">
        <f>_xlfn.XLOOKUP(analysis_calculated[[#This Row],[DATE]],Table1[DATE],Table1[Deposit facility - date of changes (raw data) - Level (FM.D.U2.EUR.4F.KR.DFR.LEV)],,-1)</f>
        <v>-0.5</v>
      </c>
      <c r="H14" s="4">
        <f>analysis_calculated[[#This Row],[Corporate_Loan_Rate]]-analysis_calculated[[#This Row],[ECB_DFR]]</f>
        <v>1.69</v>
      </c>
      <c r="I14" s="5">
        <f>IFERROR(analysis_calculated[[#This Row],[New_Loan_Volume]]/_xlfn.XLOOKUP(EOMONTH(analysis_calculated[[#This Row],[DATE]],-12),analysis_calculated[DATE],analysis_calculated[New_Loan_Volume])-1,"")</f>
        <v>-6.0131181753810603E-2</v>
      </c>
      <c r="J14" s="5">
        <f>IFERROR(analysis_calculated[[#This Row],[Loan_Stock]]/_xlfn.XLOOKUP(EOMONTH(analysis_calculated[[#This Row],[DATE]],-12),analysis_calculated[DATE],analysis_calculated[Loan_Stock])-1,"")</f>
        <v>5.4611043407752025E-2</v>
      </c>
      <c r="K14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59756.333333333336</v>
      </c>
      <c r="L14" s="4">
        <f>_xlfn.IFNA(analysis_calculated[[#This Row],[ECB_DFR]]-_xlfn.XLOOKUP(EOMONTH(analysis_calculated[[#This Row],[DATE]],-1),analysis_calculated[DATE],analysis_calculated[ECB_DFR]),"")</f>
        <v>0</v>
      </c>
      <c r="M14" s="4" t="str">
        <f>IF(analysis_calculated[[#This Row],[ECB_DFR]]&lt;0,"Negative Rate",IF(analysis_calculated[[#This Row],[ECB_DFR]]=0,"Zero Rate","Positive Rate"))</f>
        <v>Negative Rate</v>
      </c>
    </row>
    <row r="15" spans="1:13" x14ac:dyDescent="0.35">
      <c r="A15" s="1">
        <v>43890</v>
      </c>
      <c r="B15" t="s">
        <v>19</v>
      </c>
      <c r="C15">
        <f>YEAR(analysis_calculated[[#This Row],[DATE]])</f>
        <v>2020</v>
      </c>
      <c r="D15" s="4">
        <v>1.1299999999999999</v>
      </c>
      <c r="E15" s="4">
        <v>48433</v>
      </c>
      <c r="F15" s="4">
        <v>1114542</v>
      </c>
      <c r="G15" s="4">
        <f>_xlfn.XLOOKUP(analysis_calculated[[#This Row],[DATE]],Table1[DATE],Table1[Deposit facility - date of changes (raw data) - Level (FM.D.U2.EUR.4F.KR.DFR.LEV)],,-1)</f>
        <v>-0.5</v>
      </c>
      <c r="H15" s="4">
        <f>analysis_calculated[[#This Row],[Corporate_Loan_Rate]]-analysis_calculated[[#This Row],[ECB_DFR]]</f>
        <v>1.63</v>
      </c>
      <c r="I15" s="5">
        <f>IFERROR(analysis_calculated[[#This Row],[New_Loan_Volume]]/_xlfn.XLOOKUP(EOMONTH(analysis_calculated[[#This Row],[DATE]],-12),analysis_calculated[DATE],analysis_calculated[New_Loan_Volume])-1,"")</f>
        <v>-1.6069397042093314E-2</v>
      </c>
      <c r="J15" s="5">
        <f>IFERROR(analysis_calculated[[#This Row],[Loan_Stock]]/_xlfn.XLOOKUP(EOMONTH(analysis_calculated[[#This Row],[DATE]],-12),analysis_calculated[DATE],analysis_calculated[Loan_Stock])-1,"")</f>
        <v>5.3554869281879913E-2</v>
      </c>
      <c r="K15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58102.666666666664</v>
      </c>
      <c r="L15" s="4">
        <f>_xlfn.IFNA(analysis_calculated[[#This Row],[ECB_DFR]]-_xlfn.XLOOKUP(EOMONTH(analysis_calculated[[#This Row],[DATE]],-1),analysis_calculated[DATE],analysis_calculated[ECB_DFR]),"")</f>
        <v>0</v>
      </c>
      <c r="M15" s="4" t="str">
        <f>IF(analysis_calculated[[#This Row],[ECB_DFR]]&lt;0,"Negative Rate",IF(analysis_calculated[[#This Row],[ECB_DFR]]=0,"Zero Rate","Positive Rate"))</f>
        <v>Negative Rate</v>
      </c>
    </row>
    <row r="16" spans="1:13" x14ac:dyDescent="0.35">
      <c r="A16" s="1">
        <v>43921</v>
      </c>
      <c r="B16" t="s">
        <v>20</v>
      </c>
      <c r="C16">
        <f>YEAR(analysis_calculated[[#This Row],[DATE]])</f>
        <v>2020</v>
      </c>
      <c r="D16" s="4">
        <v>1.1200000000000001</v>
      </c>
      <c r="E16" s="4">
        <v>71850</v>
      </c>
      <c r="F16" s="4">
        <v>1137604</v>
      </c>
      <c r="G16" s="4">
        <f>_xlfn.XLOOKUP(analysis_calculated[[#This Row],[DATE]],Table1[DATE],Table1[Deposit facility - date of changes (raw data) - Level (FM.D.U2.EUR.4F.KR.DFR.LEV)],,-1)</f>
        <v>-0.5</v>
      </c>
      <c r="H16" s="4">
        <f>analysis_calculated[[#This Row],[Corporate_Loan_Rate]]-analysis_calculated[[#This Row],[ECB_DFR]]</f>
        <v>1.62</v>
      </c>
      <c r="I16" s="5">
        <f>IFERROR(analysis_calculated[[#This Row],[New_Loan_Volume]]/_xlfn.XLOOKUP(EOMONTH(analysis_calculated[[#This Row],[DATE]],-12),analysis_calculated[DATE],analysis_calculated[New_Loan_Volume])-1,"")</f>
        <v>0.29707188504170134</v>
      </c>
      <c r="J16" s="5">
        <f>IFERROR(analysis_calculated[[#This Row],[Loan_Stock]]/_xlfn.XLOOKUP(EOMONTH(analysis_calculated[[#This Row],[DATE]],-12),analysis_calculated[DATE],analysis_calculated[Loan_Stock])-1,"")</f>
        <v>6.8055434285622995E-2</v>
      </c>
      <c r="K16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56907.333333333336</v>
      </c>
      <c r="L16" s="4">
        <f>_xlfn.IFNA(analysis_calculated[[#This Row],[ECB_DFR]]-_xlfn.XLOOKUP(EOMONTH(analysis_calculated[[#This Row],[DATE]],-1),analysis_calculated[DATE],analysis_calculated[ECB_DFR]),"")</f>
        <v>0</v>
      </c>
      <c r="M16" s="4" t="str">
        <f>IF(analysis_calculated[[#This Row],[ECB_DFR]]&lt;0,"Negative Rate",IF(analysis_calculated[[#This Row],[ECB_DFR]]=0,"Zero Rate","Positive Rate"))</f>
        <v>Negative Rate</v>
      </c>
    </row>
    <row r="17" spans="1:13" x14ac:dyDescent="0.35">
      <c r="A17" s="1">
        <v>43951</v>
      </c>
      <c r="B17" t="s">
        <v>21</v>
      </c>
      <c r="C17">
        <f>YEAR(analysis_calculated[[#This Row],[DATE]])</f>
        <v>2020</v>
      </c>
      <c r="D17" s="4">
        <v>1.27</v>
      </c>
      <c r="E17" s="4">
        <v>57567</v>
      </c>
      <c r="F17" s="4">
        <v>1150026</v>
      </c>
      <c r="G17" s="4">
        <f>_xlfn.XLOOKUP(analysis_calculated[[#This Row],[DATE]],Table1[DATE],Table1[Deposit facility - date of changes (raw data) - Level (FM.D.U2.EUR.4F.KR.DFR.LEV)],,-1)</f>
        <v>-0.5</v>
      </c>
      <c r="H17" s="4">
        <f>analysis_calculated[[#This Row],[Corporate_Loan_Rate]]-analysis_calculated[[#This Row],[ECB_DFR]]</f>
        <v>1.77</v>
      </c>
      <c r="I17" s="5">
        <f>IFERROR(analysis_calculated[[#This Row],[New_Loan_Volume]]/_xlfn.XLOOKUP(EOMONTH(analysis_calculated[[#This Row],[DATE]],-12),analysis_calculated[DATE],analysis_calculated[New_Loan_Volume])-1,"")</f>
        <v>-4.1077407425915702E-2</v>
      </c>
      <c r="J17" s="5">
        <f>IFERROR(analysis_calculated[[#This Row],[Loan_Stock]]/_xlfn.XLOOKUP(EOMONTH(analysis_calculated[[#This Row],[DATE]],-12),analysis_calculated[DATE],analysis_calculated[Loan_Stock])-1,"")</f>
        <v>7.4525537624361871E-2</v>
      </c>
      <c r="K17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59283.333333333336</v>
      </c>
      <c r="L17" s="4">
        <f>_xlfn.IFNA(analysis_calculated[[#This Row],[ECB_DFR]]-_xlfn.XLOOKUP(EOMONTH(analysis_calculated[[#This Row],[DATE]],-1),analysis_calculated[DATE],analysis_calculated[ECB_DFR]),"")</f>
        <v>0</v>
      </c>
      <c r="M17" s="4" t="str">
        <f>IF(analysis_calculated[[#This Row],[ECB_DFR]]&lt;0,"Negative Rate",IF(analysis_calculated[[#This Row],[ECB_DFR]]=0,"Zero Rate","Positive Rate"))</f>
        <v>Negative Rate</v>
      </c>
    </row>
    <row r="18" spans="1:13" x14ac:dyDescent="0.35">
      <c r="A18" s="1">
        <v>43982</v>
      </c>
      <c r="B18" t="s">
        <v>22</v>
      </c>
      <c r="C18">
        <f>YEAR(analysis_calculated[[#This Row],[DATE]])</f>
        <v>2020</v>
      </c>
      <c r="D18" s="4">
        <v>1.33</v>
      </c>
      <c r="E18" s="4">
        <v>51330</v>
      </c>
      <c r="F18" s="4">
        <v>1159576</v>
      </c>
      <c r="G18" s="4">
        <f>_xlfn.XLOOKUP(analysis_calculated[[#This Row],[DATE]],Table1[DATE],Table1[Deposit facility - date of changes (raw data) - Level (FM.D.U2.EUR.4F.KR.DFR.LEV)],,-1)</f>
        <v>-0.5</v>
      </c>
      <c r="H18" s="4">
        <f>analysis_calculated[[#This Row],[Corporate_Loan_Rate]]-analysis_calculated[[#This Row],[ECB_DFR]]</f>
        <v>1.83</v>
      </c>
      <c r="I18" s="5">
        <f>IFERROR(analysis_calculated[[#This Row],[New_Loan_Volume]]/_xlfn.XLOOKUP(EOMONTH(analysis_calculated[[#This Row],[DATE]],-12),analysis_calculated[DATE],analysis_calculated[New_Loan_Volume])-1,"")</f>
        <v>-8.7482889193081004E-2</v>
      </c>
      <c r="J18" s="5">
        <f>IFERROR(analysis_calculated[[#This Row],[Loan_Stock]]/_xlfn.XLOOKUP(EOMONTH(analysis_calculated[[#This Row],[DATE]],-12),analysis_calculated[DATE],analysis_calculated[Loan_Stock])-1,"")</f>
        <v>7.2208188008329399E-2</v>
      </c>
      <c r="K18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60249</v>
      </c>
      <c r="L18" s="4">
        <f>_xlfn.IFNA(analysis_calculated[[#This Row],[ECB_DFR]]-_xlfn.XLOOKUP(EOMONTH(analysis_calculated[[#This Row],[DATE]],-1),analysis_calculated[DATE],analysis_calculated[ECB_DFR]),"")</f>
        <v>0</v>
      </c>
      <c r="M18" s="4" t="str">
        <f>IF(analysis_calculated[[#This Row],[ECB_DFR]]&lt;0,"Negative Rate",IF(analysis_calculated[[#This Row],[ECB_DFR]]=0,"Zero Rate","Positive Rate"))</f>
        <v>Negative Rate</v>
      </c>
    </row>
    <row r="19" spans="1:13" x14ac:dyDescent="0.35">
      <c r="A19" s="1">
        <v>44012</v>
      </c>
      <c r="B19" t="s">
        <v>23</v>
      </c>
      <c r="C19">
        <f>YEAR(analysis_calculated[[#This Row],[DATE]])</f>
        <v>2020</v>
      </c>
      <c r="D19" s="4">
        <v>1.32</v>
      </c>
      <c r="E19" s="4">
        <v>56293</v>
      </c>
      <c r="F19" s="4">
        <v>1156499</v>
      </c>
      <c r="G19" s="4">
        <f>_xlfn.XLOOKUP(analysis_calculated[[#This Row],[DATE]],Table1[DATE],Table1[Deposit facility - date of changes (raw data) - Level (FM.D.U2.EUR.4F.KR.DFR.LEV)],,-1)</f>
        <v>-0.5</v>
      </c>
      <c r="H19" s="4">
        <f>analysis_calculated[[#This Row],[Corporate_Loan_Rate]]-analysis_calculated[[#This Row],[ECB_DFR]]</f>
        <v>1.82</v>
      </c>
      <c r="I19" s="5">
        <f>IFERROR(analysis_calculated[[#This Row],[New_Loan_Volume]]/_xlfn.XLOOKUP(EOMONTH(analysis_calculated[[#This Row],[DATE]],-12),analysis_calculated[DATE],analysis_calculated[New_Loan_Volume])-1,"")</f>
        <v>-4.5622541706225372E-2</v>
      </c>
      <c r="J19" s="5">
        <f>IFERROR(analysis_calculated[[#This Row],[Loan_Stock]]/_xlfn.XLOOKUP(EOMONTH(analysis_calculated[[#This Row],[DATE]],-12),analysis_calculated[DATE],analysis_calculated[Loan_Stock])-1,"")</f>
        <v>6.0666702740677092E-2</v>
      </c>
      <c r="K19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55063.333333333336</v>
      </c>
      <c r="L19" s="4">
        <f>_xlfn.IFNA(analysis_calculated[[#This Row],[ECB_DFR]]-_xlfn.XLOOKUP(EOMONTH(analysis_calculated[[#This Row],[DATE]],-1),analysis_calculated[DATE],analysis_calculated[ECB_DFR]),"")</f>
        <v>0</v>
      </c>
      <c r="M19" s="4" t="str">
        <f>IF(analysis_calculated[[#This Row],[ECB_DFR]]&lt;0,"Negative Rate",IF(analysis_calculated[[#This Row],[ECB_DFR]]=0,"Zero Rate","Positive Rate"))</f>
        <v>Negative Rate</v>
      </c>
    </row>
    <row r="20" spans="1:13" x14ac:dyDescent="0.35">
      <c r="A20" s="1">
        <v>44043</v>
      </c>
      <c r="B20" t="s">
        <v>24</v>
      </c>
      <c r="C20">
        <f>YEAR(analysis_calculated[[#This Row],[DATE]])</f>
        <v>2020</v>
      </c>
      <c r="D20" s="4">
        <v>1.43</v>
      </c>
      <c r="E20" s="4">
        <v>48992</v>
      </c>
      <c r="F20" s="4">
        <v>1156046</v>
      </c>
      <c r="G20" s="4">
        <f>_xlfn.XLOOKUP(analysis_calculated[[#This Row],[DATE]],Table1[DATE],Table1[Deposit facility - date of changes (raw data) - Level (FM.D.U2.EUR.4F.KR.DFR.LEV)],,-1)</f>
        <v>-0.5</v>
      </c>
      <c r="H20" s="4">
        <f>analysis_calculated[[#This Row],[Corporate_Loan_Rate]]-analysis_calculated[[#This Row],[ECB_DFR]]</f>
        <v>1.93</v>
      </c>
      <c r="I20" s="5">
        <f>IFERROR(analysis_calculated[[#This Row],[New_Loan_Volume]]/_xlfn.XLOOKUP(EOMONTH(analysis_calculated[[#This Row],[DATE]],-12),analysis_calculated[DATE],analysis_calculated[New_Loan_Volume])-1,"")</f>
        <v>-0.21731767713076122</v>
      </c>
      <c r="J20" s="5">
        <f>IFERROR(analysis_calculated[[#This Row],[Loan_Stock]]/_xlfn.XLOOKUP(EOMONTH(analysis_calculated[[#This Row],[DATE]],-12),analysis_calculated[DATE],analysis_calculated[Loan_Stock])-1,"")</f>
        <v>5.9485546754354912E-2</v>
      </c>
      <c r="K20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52205</v>
      </c>
      <c r="L20" s="4">
        <f>_xlfn.IFNA(analysis_calculated[[#This Row],[ECB_DFR]]-_xlfn.XLOOKUP(EOMONTH(analysis_calculated[[#This Row],[DATE]],-1),analysis_calculated[DATE],analysis_calculated[ECB_DFR]),"")</f>
        <v>0</v>
      </c>
      <c r="M20" s="4" t="str">
        <f>IF(analysis_calculated[[#This Row],[ECB_DFR]]&lt;0,"Negative Rate",IF(analysis_calculated[[#This Row],[ECB_DFR]]=0,"Zero Rate","Positive Rate"))</f>
        <v>Negative Rate</v>
      </c>
    </row>
    <row r="21" spans="1:13" x14ac:dyDescent="0.35">
      <c r="A21" s="1">
        <v>44074</v>
      </c>
      <c r="B21" t="s">
        <v>25</v>
      </c>
      <c r="C21">
        <f>YEAR(analysis_calculated[[#This Row],[DATE]])</f>
        <v>2020</v>
      </c>
      <c r="D21" s="4">
        <v>1.58</v>
      </c>
      <c r="E21" s="4">
        <v>39287</v>
      </c>
      <c r="F21" s="4">
        <v>1162103</v>
      </c>
      <c r="G21" s="4">
        <f>_xlfn.XLOOKUP(analysis_calculated[[#This Row],[DATE]],Table1[DATE],Table1[Deposit facility - date of changes (raw data) - Level (FM.D.U2.EUR.4F.KR.DFR.LEV)],,-1)</f>
        <v>-0.5</v>
      </c>
      <c r="H21" s="4">
        <f>analysis_calculated[[#This Row],[Corporate_Loan_Rate]]-analysis_calculated[[#This Row],[ECB_DFR]]</f>
        <v>2.08</v>
      </c>
      <c r="I21" s="5">
        <f>IFERROR(analysis_calculated[[#This Row],[New_Loan_Volume]]/_xlfn.XLOOKUP(EOMONTH(analysis_calculated[[#This Row],[DATE]],-12),analysis_calculated[DATE],analysis_calculated[New_Loan_Volume])-1,"")</f>
        <v>-0.22526128968645243</v>
      </c>
      <c r="J21" s="5">
        <f>IFERROR(analysis_calculated[[#This Row],[Loan_Stock]]/_xlfn.XLOOKUP(EOMONTH(analysis_calculated[[#This Row],[DATE]],-12),analysis_calculated[DATE],analysis_calculated[Loan_Stock])-1,"")</f>
        <v>5.9686426273517057E-2</v>
      </c>
      <c r="K21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48190.666666666664</v>
      </c>
      <c r="L21" s="4">
        <f>_xlfn.IFNA(analysis_calculated[[#This Row],[ECB_DFR]]-_xlfn.XLOOKUP(EOMONTH(analysis_calculated[[#This Row],[DATE]],-1),analysis_calculated[DATE],analysis_calculated[ECB_DFR]),"")</f>
        <v>0</v>
      </c>
      <c r="M21" s="4" t="str">
        <f>IF(analysis_calculated[[#This Row],[ECB_DFR]]&lt;0,"Negative Rate",IF(analysis_calculated[[#This Row],[ECB_DFR]]=0,"Zero Rate","Positive Rate"))</f>
        <v>Negative Rate</v>
      </c>
    </row>
    <row r="22" spans="1:13" x14ac:dyDescent="0.35">
      <c r="A22" s="1">
        <v>44104</v>
      </c>
      <c r="B22" t="s">
        <v>26</v>
      </c>
      <c r="C22">
        <f>YEAR(analysis_calculated[[#This Row],[DATE]])</f>
        <v>2020</v>
      </c>
      <c r="D22" s="4">
        <v>1.31</v>
      </c>
      <c r="E22" s="4">
        <v>49712</v>
      </c>
      <c r="F22" s="4">
        <v>1149868</v>
      </c>
      <c r="G22" s="4">
        <f>_xlfn.XLOOKUP(analysis_calculated[[#This Row],[DATE]],Table1[DATE],Table1[Deposit facility - date of changes (raw data) - Level (FM.D.U2.EUR.4F.KR.DFR.LEV)],,-1)</f>
        <v>-0.5</v>
      </c>
      <c r="H22" s="4">
        <f>analysis_calculated[[#This Row],[Corporate_Loan_Rate]]-analysis_calculated[[#This Row],[ECB_DFR]]</f>
        <v>1.81</v>
      </c>
      <c r="I22" s="5">
        <f>IFERROR(analysis_calculated[[#This Row],[New_Loan_Volume]]/_xlfn.XLOOKUP(EOMONTH(analysis_calculated[[#This Row],[DATE]],-12),analysis_calculated[DATE],analysis_calculated[New_Loan_Volume])-1,"")</f>
        <v>-0.14678017300562951</v>
      </c>
      <c r="J22" s="5">
        <f>IFERROR(analysis_calculated[[#This Row],[Loan_Stock]]/_xlfn.XLOOKUP(EOMONTH(analysis_calculated[[#This Row],[DATE]],-12),analysis_calculated[DATE],analysis_calculated[Loan_Stock])-1,"")</f>
        <v>4.545239645196375E-2</v>
      </c>
      <c r="K22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45997</v>
      </c>
      <c r="L22" s="4">
        <f>_xlfn.IFNA(analysis_calculated[[#This Row],[ECB_DFR]]-_xlfn.XLOOKUP(EOMONTH(analysis_calculated[[#This Row],[DATE]],-1),analysis_calculated[DATE],analysis_calculated[ECB_DFR]),"")</f>
        <v>0</v>
      </c>
      <c r="M22" s="4" t="str">
        <f>IF(analysis_calculated[[#This Row],[ECB_DFR]]&lt;0,"Negative Rate",IF(analysis_calculated[[#This Row],[ECB_DFR]]=0,"Zero Rate","Positive Rate"))</f>
        <v>Negative Rate</v>
      </c>
    </row>
    <row r="23" spans="1:13" x14ac:dyDescent="0.35">
      <c r="A23" s="1">
        <v>44135</v>
      </c>
      <c r="B23" t="s">
        <v>27</v>
      </c>
      <c r="C23">
        <f>YEAR(analysis_calculated[[#This Row],[DATE]])</f>
        <v>2020</v>
      </c>
      <c r="D23" s="4">
        <v>1.37</v>
      </c>
      <c r="E23" s="4">
        <v>46031</v>
      </c>
      <c r="F23" s="4">
        <v>1153142</v>
      </c>
      <c r="G23" s="4">
        <f>_xlfn.XLOOKUP(analysis_calculated[[#This Row],[DATE]],Table1[DATE],Table1[Deposit facility - date of changes (raw data) - Level (FM.D.U2.EUR.4F.KR.DFR.LEV)],,-1)</f>
        <v>-0.5</v>
      </c>
      <c r="H23" s="4">
        <f>analysis_calculated[[#This Row],[Corporate_Loan_Rate]]-analysis_calculated[[#This Row],[ECB_DFR]]</f>
        <v>1.87</v>
      </c>
      <c r="I23" s="5">
        <f>IFERROR(analysis_calculated[[#This Row],[New_Loan_Volume]]/_xlfn.XLOOKUP(EOMONTH(analysis_calculated[[#This Row],[DATE]],-12),analysis_calculated[DATE],analysis_calculated[New_Loan_Volume])-1,"")</f>
        <v>-0.19564191727680991</v>
      </c>
      <c r="J23" s="5">
        <f>IFERROR(analysis_calculated[[#This Row],[Loan_Stock]]/_xlfn.XLOOKUP(EOMONTH(analysis_calculated[[#This Row],[DATE]],-12),analysis_calculated[DATE],analysis_calculated[Loan_Stock])-1,"")</f>
        <v>4.6586895041985432E-2</v>
      </c>
      <c r="K23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45010</v>
      </c>
      <c r="L23" s="4">
        <f>_xlfn.IFNA(analysis_calculated[[#This Row],[ECB_DFR]]-_xlfn.XLOOKUP(EOMONTH(analysis_calculated[[#This Row],[DATE]],-1),analysis_calculated[DATE],analysis_calculated[ECB_DFR]),"")</f>
        <v>0</v>
      </c>
      <c r="M23" s="4" t="str">
        <f>IF(analysis_calculated[[#This Row],[ECB_DFR]]&lt;0,"Negative Rate",IF(analysis_calculated[[#This Row],[ECB_DFR]]=0,"Zero Rate","Positive Rate"))</f>
        <v>Negative Rate</v>
      </c>
    </row>
    <row r="24" spans="1:13" x14ac:dyDescent="0.35">
      <c r="A24" s="1">
        <v>44165</v>
      </c>
      <c r="B24" t="s">
        <v>28</v>
      </c>
      <c r="C24">
        <f>YEAR(analysis_calculated[[#This Row],[DATE]])</f>
        <v>2020</v>
      </c>
      <c r="D24" s="4">
        <v>1.38</v>
      </c>
      <c r="E24" s="4">
        <v>44795</v>
      </c>
      <c r="F24" s="4">
        <v>1154178</v>
      </c>
      <c r="G24" s="4">
        <f>_xlfn.XLOOKUP(analysis_calculated[[#This Row],[DATE]],Table1[DATE],Table1[Deposit facility - date of changes (raw data) - Level (FM.D.U2.EUR.4F.KR.DFR.LEV)],,-1)</f>
        <v>-0.5</v>
      </c>
      <c r="H24" s="4">
        <f>analysis_calculated[[#This Row],[Corporate_Loan_Rate]]-analysis_calculated[[#This Row],[ECB_DFR]]</f>
        <v>1.88</v>
      </c>
      <c r="I24" s="5">
        <f>IFERROR(analysis_calculated[[#This Row],[New_Loan_Volume]]/_xlfn.XLOOKUP(EOMONTH(analysis_calculated[[#This Row],[DATE]],-12),analysis_calculated[DATE],analysis_calculated[New_Loan_Volume])-1,"")</f>
        <v>-0.16104805783421361</v>
      </c>
      <c r="J24" s="5">
        <f>IFERROR(analysis_calculated[[#This Row],[Loan_Stock]]/_xlfn.XLOOKUP(EOMONTH(analysis_calculated[[#This Row],[DATE]],-12),analysis_calculated[DATE],analysis_calculated[Loan_Stock])-1,"")</f>
        <v>3.9403902837026994E-2</v>
      </c>
      <c r="K24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46846</v>
      </c>
      <c r="L24" s="4">
        <f>_xlfn.IFNA(analysis_calculated[[#This Row],[ECB_DFR]]-_xlfn.XLOOKUP(EOMONTH(analysis_calculated[[#This Row],[DATE]],-1),analysis_calculated[DATE],analysis_calculated[ECB_DFR]),"")</f>
        <v>0</v>
      </c>
      <c r="M24" s="4" t="str">
        <f>IF(analysis_calculated[[#This Row],[ECB_DFR]]&lt;0,"Negative Rate",IF(analysis_calculated[[#This Row],[ECB_DFR]]=0,"Zero Rate","Positive Rate"))</f>
        <v>Negative Rate</v>
      </c>
    </row>
    <row r="25" spans="1:13" x14ac:dyDescent="0.35">
      <c r="A25" s="1">
        <v>44196</v>
      </c>
      <c r="B25" t="s">
        <v>29</v>
      </c>
      <c r="C25">
        <f>YEAR(analysis_calculated[[#This Row],[DATE]])</f>
        <v>2020</v>
      </c>
      <c r="D25" s="4">
        <v>1.31</v>
      </c>
      <c r="E25" s="4">
        <v>61453</v>
      </c>
      <c r="F25" s="4">
        <v>1150728</v>
      </c>
      <c r="G25" s="4">
        <f>_xlfn.XLOOKUP(analysis_calculated[[#This Row],[DATE]],Table1[DATE],Table1[Deposit facility - date of changes (raw data) - Level (FM.D.U2.EUR.4F.KR.DFR.LEV)],,-1)</f>
        <v>-0.5</v>
      </c>
      <c r="H25" s="4">
        <f>analysis_calculated[[#This Row],[Corporate_Loan_Rate]]-analysis_calculated[[#This Row],[ECB_DFR]]</f>
        <v>1.81</v>
      </c>
      <c r="I25" s="5">
        <f>IFERROR(analysis_calculated[[#This Row],[New_Loan_Volume]]/_xlfn.XLOOKUP(EOMONTH(analysis_calculated[[#This Row],[DATE]],-12),analysis_calculated[DATE],analysis_calculated[New_Loan_Volume])-1,"")</f>
        <v>-0.18536242642770029</v>
      </c>
      <c r="J25" s="5">
        <f>IFERROR(analysis_calculated[[#This Row],[Loan_Stock]]/_xlfn.XLOOKUP(EOMONTH(analysis_calculated[[#This Row],[DATE]],-12),analysis_calculated[DATE],analysis_calculated[Loan_Stock])-1,"")</f>
        <v>4.0865669454723363E-2</v>
      </c>
      <c r="K25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50759.666666666664</v>
      </c>
      <c r="L25" s="4">
        <f>_xlfn.IFNA(analysis_calculated[[#This Row],[ECB_DFR]]-_xlfn.XLOOKUP(EOMONTH(analysis_calculated[[#This Row],[DATE]],-1),analysis_calculated[DATE],analysis_calculated[ECB_DFR]),"")</f>
        <v>0</v>
      </c>
      <c r="M25" s="4" t="str">
        <f>IF(analysis_calculated[[#This Row],[ECB_DFR]]&lt;0,"Negative Rate",IF(analysis_calculated[[#This Row],[ECB_DFR]]=0,"Zero Rate","Positive Rate"))</f>
        <v>Negative Rate</v>
      </c>
    </row>
    <row r="26" spans="1:13" x14ac:dyDescent="0.35">
      <c r="A26" s="1">
        <v>44227</v>
      </c>
      <c r="B26" t="s">
        <v>30</v>
      </c>
      <c r="C26">
        <f>YEAR(analysis_calculated[[#This Row],[DATE]])</f>
        <v>2021</v>
      </c>
      <c r="D26" s="4">
        <v>1.29</v>
      </c>
      <c r="E26" s="4">
        <v>37482</v>
      </c>
      <c r="F26" s="4">
        <v>1153371</v>
      </c>
      <c r="G26" s="4">
        <f>_xlfn.XLOOKUP(analysis_calculated[[#This Row],[DATE]],Table1[DATE],Table1[Deposit facility - date of changes (raw data) - Level (FM.D.U2.EUR.4F.KR.DFR.LEV)],,-1)</f>
        <v>-0.5</v>
      </c>
      <c r="H26" s="4">
        <f>analysis_calculated[[#This Row],[Corporate_Loan_Rate]]-analysis_calculated[[#This Row],[ECB_DFR]]</f>
        <v>1.79</v>
      </c>
      <c r="I26" s="5">
        <f>IFERROR(analysis_calculated[[#This Row],[New_Loan_Volume]]/_xlfn.XLOOKUP(EOMONTH(analysis_calculated[[#This Row],[DATE]],-12),analysis_calculated[DATE],analysis_calculated[New_Loan_Volume])-1,"")</f>
        <v>-0.25688455361922324</v>
      </c>
      <c r="J26" s="5">
        <f>IFERROR(analysis_calculated[[#This Row],[Loan_Stock]]/_xlfn.XLOOKUP(EOMONTH(analysis_calculated[[#This Row],[DATE]],-12),analysis_calculated[DATE],analysis_calculated[Loan_Stock])-1,"")</f>
        <v>4.2050797413871077E-2</v>
      </c>
      <c r="K26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47910</v>
      </c>
      <c r="L26" s="4">
        <f>_xlfn.IFNA(analysis_calculated[[#This Row],[ECB_DFR]]-_xlfn.XLOOKUP(EOMONTH(analysis_calculated[[#This Row],[DATE]],-1),analysis_calculated[DATE],analysis_calculated[ECB_DFR]),"")</f>
        <v>0</v>
      </c>
      <c r="M26" s="4" t="str">
        <f>IF(analysis_calculated[[#This Row],[ECB_DFR]]&lt;0,"Negative Rate",IF(analysis_calculated[[#This Row],[ECB_DFR]]=0,"Zero Rate","Positive Rate"))</f>
        <v>Negative Rate</v>
      </c>
    </row>
    <row r="27" spans="1:13" x14ac:dyDescent="0.35">
      <c r="A27" s="1">
        <v>44255</v>
      </c>
      <c r="B27" t="s">
        <v>31</v>
      </c>
      <c r="C27">
        <f>YEAR(analysis_calculated[[#This Row],[DATE]])</f>
        <v>2021</v>
      </c>
      <c r="D27" s="4">
        <v>1.3</v>
      </c>
      <c r="E27" s="4">
        <v>39808</v>
      </c>
      <c r="F27" s="4">
        <v>1161795</v>
      </c>
      <c r="G27" s="4">
        <f>_xlfn.XLOOKUP(analysis_calculated[[#This Row],[DATE]],Table1[DATE],Table1[Deposit facility - date of changes (raw data) - Level (FM.D.U2.EUR.4F.KR.DFR.LEV)],,-1)</f>
        <v>-0.5</v>
      </c>
      <c r="H27" s="4">
        <f>analysis_calculated[[#This Row],[Corporate_Loan_Rate]]-analysis_calculated[[#This Row],[ECB_DFR]]</f>
        <v>1.8</v>
      </c>
      <c r="I27" s="5">
        <f>IFERROR(analysis_calculated[[#This Row],[New_Loan_Volume]]/_xlfn.XLOOKUP(EOMONTH(analysis_calculated[[#This Row],[DATE]],-12),analysis_calculated[DATE],analysis_calculated[New_Loan_Volume])-1,"")</f>
        <v>-0.17808106043400163</v>
      </c>
      <c r="J27" s="5">
        <f>IFERROR(analysis_calculated[[#This Row],[Loan_Stock]]/_xlfn.XLOOKUP(EOMONTH(analysis_calculated[[#This Row],[DATE]],-12),analysis_calculated[DATE],analysis_calculated[Loan_Stock])-1,"")</f>
        <v>4.2396787200482455E-2</v>
      </c>
      <c r="K27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46247.666666666664</v>
      </c>
      <c r="L27" s="4">
        <f>_xlfn.IFNA(analysis_calculated[[#This Row],[ECB_DFR]]-_xlfn.XLOOKUP(EOMONTH(analysis_calculated[[#This Row],[DATE]],-1),analysis_calculated[DATE],analysis_calculated[ECB_DFR]),"")</f>
        <v>0</v>
      </c>
      <c r="M27" s="4" t="str">
        <f>IF(analysis_calculated[[#This Row],[ECB_DFR]]&lt;0,"Negative Rate",IF(analysis_calculated[[#This Row],[ECB_DFR]]=0,"Zero Rate","Positive Rate"))</f>
        <v>Negative Rate</v>
      </c>
    </row>
    <row r="28" spans="1:13" x14ac:dyDescent="0.35">
      <c r="A28" s="1">
        <v>44286</v>
      </c>
      <c r="B28" t="s">
        <v>32</v>
      </c>
      <c r="C28">
        <f>YEAR(analysis_calculated[[#This Row],[DATE]])</f>
        <v>2021</v>
      </c>
      <c r="D28" s="4">
        <v>0.94</v>
      </c>
      <c r="E28" s="4">
        <v>71405</v>
      </c>
      <c r="F28" s="4">
        <v>1180511</v>
      </c>
      <c r="G28" s="4">
        <f>_xlfn.XLOOKUP(analysis_calculated[[#This Row],[DATE]],Table1[DATE],Table1[Deposit facility - date of changes (raw data) - Level (FM.D.U2.EUR.4F.KR.DFR.LEV)],,-1)</f>
        <v>-0.5</v>
      </c>
      <c r="H28" s="4">
        <f>analysis_calculated[[#This Row],[Corporate_Loan_Rate]]-analysis_calculated[[#This Row],[ECB_DFR]]</f>
        <v>1.44</v>
      </c>
      <c r="I28" s="5">
        <f>IFERROR(analysis_calculated[[#This Row],[New_Loan_Volume]]/_xlfn.XLOOKUP(EOMONTH(analysis_calculated[[#This Row],[DATE]],-12),analysis_calculated[DATE],analysis_calculated[New_Loan_Volume])-1,"")</f>
        <v>-6.1934585942936549E-3</v>
      </c>
      <c r="J28" s="5">
        <f>IFERROR(analysis_calculated[[#This Row],[Loan_Stock]]/_xlfn.XLOOKUP(EOMONTH(analysis_calculated[[#This Row],[DATE]],-12),analysis_calculated[DATE],analysis_calculated[Loan_Stock])-1,"")</f>
        <v>3.7716991149820078E-2</v>
      </c>
      <c r="K28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49565</v>
      </c>
      <c r="L28" s="4">
        <f>_xlfn.IFNA(analysis_calculated[[#This Row],[ECB_DFR]]-_xlfn.XLOOKUP(EOMONTH(analysis_calculated[[#This Row],[DATE]],-1),analysis_calculated[DATE],analysis_calculated[ECB_DFR]),"")</f>
        <v>0</v>
      </c>
      <c r="M28" s="4" t="str">
        <f>IF(analysis_calculated[[#This Row],[ECB_DFR]]&lt;0,"Negative Rate",IF(analysis_calculated[[#This Row],[ECB_DFR]]=0,"Zero Rate","Positive Rate"))</f>
        <v>Negative Rate</v>
      </c>
    </row>
    <row r="29" spans="1:13" x14ac:dyDescent="0.35">
      <c r="A29" s="1">
        <v>44316</v>
      </c>
      <c r="B29" t="s">
        <v>33</v>
      </c>
      <c r="C29">
        <f>YEAR(analysis_calculated[[#This Row],[DATE]])</f>
        <v>2021</v>
      </c>
      <c r="D29" s="4">
        <v>1.5</v>
      </c>
      <c r="E29" s="4">
        <v>37857</v>
      </c>
      <c r="F29" s="4">
        <v>1171411</v>
      </c>
      <c r="G29" s="4">
        <f>_xlfn.XLOOKUP(analysis_calculated[[#This Row],[DATE]],Table1[DATE],Table1[Deposit facility - date of changes (raw data) - Level (FM.D.U2.EUR.4F.KR.DFR.LEV)],,-1)</f>
        <v>-0.5</v>
      </c>
      <c r="H29" s="4">
        <f>analysis_calculated[[#This Row],[Corporate_Loan_Rate]]-analysis_calculated[[#This Row],[ECB_DFR]]</f>
        <v>2</v>
      </c>
      <c r="I29" s="5">
        <f>IFERROR(analysis_calculated[[#This Row],[New_Loan_Volume]]/_xlfn.XLOOKUP(EOMONTH(analysis_calculated[[#This Row],[DATE]],-12),analysis_calculated[DATE],analysis_calculated[New_Loan_Volume])-1,"")</f>
        <v>-0.3423836573036636</v>
      </c>
      <c r="J29" s="5">
        <f>IFERROR(analysis_calculated[[#This Row],[Loan_Stock]]/_xlfn.XLOOKUP(EOMONTH(analysis_calculated[[#This Row],[DATE]],-12),analysis_calculated[DATE],analysis_calculated[Loan_Stock])-1,"")</f>
        <v>1.8595231759977571E-2</v>
      </c>
      <c r="K29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49690</v>
      </c>
      <c r="L29" s="4">
        <f>_xlfn.IFNA(analysis_calculated[[#This Row],[ECB_DFR]]-_xlfn.XLOOKUP(EOMONTH(analysis_calculated[[#This Row],[DATE]],-1),analysis_calculated[DATE],analysis_calculated[ECB_DFR]),"")</f>
        <v>0</v>
      </c>
      <c r="M29" s="4" t="str">
        <f>IF(analysis_calculated[[#This Row],[ECB_DFR]]&lt;0,"Negative Rate",IF(analysis_calculated[[#This Row],[ECB_DFR]]=0,"Zero Rate","Positive Rate"))</f>
        <v>Negative Rate</v>
      </c>
    </row>
    <row r="30" spans="1:13" x14ac:dyDescent="0.35">
      <c r="A30" s="1">
        <v>44347</v>
      </c>
      <c r="B30" t="s">
        <v>34</v>
      </c>
      <c r="C30">
        <f>YEAR(analysis_calculated[[#This Row],[DATE]])</f>
        <v>2021</v>
      </c>
      <c r="D30" s="4">
        <v>1.25</v>
      </c>
      <c r="E30" s="4">
        <v>42588</v>
      </c>
      <c r="F30" s="4">
        <v>1176771</v>
      </c>
      <c r="G30" s="4">
        <f>_xlfn.XLOOKUP(analysis_calculated[[#This Row],[DATE]],Table1[DATE],Table1[Deposit facility - date of changes (raw data) - Level (FM.D.U2.EUR.4F.KR.DFR.LEV)],,-1)</f>
        <v>-0.5</v>
      </c>
      <c r="H30" s="4">
        <f>analysis_calculated[[#This Row],[Corporate_Loan_Rate]]-analysis_calculated[[#This Row],[ECB_DFR]]</f>
        <v>1.75</v>
      </c>
      <c r="I30" s="5">
        <f>IFERROR(analysis_calculated[[#This Row],[New_Loan_Volume]]/_xlfn.XLOOKUP(EOMONTH(analysis_calculated[[#This Row],[DATE]],-12),analysis_calculated[DATE],analysis_calculated[New_Loan_Volume])-1,"")</f>
        <v>-0.17030976037405021</v>
      </c>
      <c r="J30" s="5">
        <f>IFERROR(analysis_calculated[[#This Row],[Loan_Stock]]/_xlfn.XLOOKUP(EOMONTH(analysis_calculated[[#This Row],[DATE]],-12),analysis_calculated[DATE],analysis_calculated[Loan_Stock])-1,"")</f>
        <v>1.4828696006126352E-2</v>
      </c>
      <c r="K30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50616.666666666664</v>
      </c>
      <c r="L30" s="4">
        <f>_xlfn.IFNA(analysis_calculated[[#This Row],[ECB_DFR]]-_xlfn.XLOOKUP(EOMONTH(analysis_calculated[[#This Row],[DATE]],-1),analysis_calculated[DATE],analysis_calculated[ECB_DFR]),"")</f>
        <v>0</v>
      </c>
      <c r="M30" s="4" t="str">
        <f>IF(analysis_calculated[[#This Row],[ECB_DFR]]&lt;0,"Negative Rate",IF(analysis_calculated[[#This Row],[ECB_DFR]]=0,"Zero Rate","Positive Rate"))</f>
        <v>Negative Rate</v>
      </c>
    </row>
    <row r="31" spans="1:13" x14ac:dyDescent="0.35">
      <c r="A31" s="1">
        <v>44377</v>
      </c>
      <c r="B31" t="s">
        <v>35</v>
      </c>
      <c r="C31">
        <f>YEAR(analysis_calculated[[#This Row],[DATE]])</f>
        <v>2021</v>
      </c>
      <c r="D31" s="4">
        <v>1.27</v>
      </c>
      <c r="E31" s="4">
        <v>55246</v>
      </c>
      <c r="F31" s="4">
        <v>1172189</v>
      </c>
      <c r="G31" s="4">
        <f>_xlfn.XLOOKUP(analysis_calculated[[#This Row],[DATE]],Table1[DATE],Table1[Deposit facility - date of changes (raw data) - Level (FM.D.U2.EUR.4F.KR.DFR.LEV)],,-1)</f>
        <v>-0.5</v>
      </c>
      <c r="H31" s="4">
        <f>analysis_calculated[[#This Row],[Corporate_Loan_Rate]]-analysis_calculated[[#This Row],[ECB_DFR]]</f>
        <v>1.77</v>
      </c>
      <c r="I31" s="5">
        <f>IFERROR(analysis_calculated[[#This Row],[New_Loan_Volume]]/_xlfn.XLOOKUP(EOMONTH(analysis_calculated[[#This Row],[DATE]],-12),analysis_calculated[DATE],analysis_calculated[New_Loan_Volume])-1,"")</f>
        <v>-1.8599115342937789E-2</v>
      </c>
      <c r="J31" s="5">
        <f>IFERROR(analysis_calculated[[#This Row],[Loan_Stock]]/_xlfn.XLOOKUP(EOMONTH(analysis_calculated[[#This Row],[DATE]],-12),analysis_calculated[DATE],analysis_calculated[Loan_Stock])-1,"")</f>
        <v>1.3566808099272132E-2</v>
      </c>
      <c r="K31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45230.333333333336</v>
      </c>
      <c r="L31" s="4">
        <f>_xlfn.IFNA(analysis_calculated[[#This Row],[ECB_DFR]]-_xlfn.XLOOKUP(EOMONTH(analysis_calculated[[#This Row],[DATE]],-1),analysis_calculated[DATE],analysis_calculated[ECB_DFR]),"")</f>
        <v>0</v>
      </c>
      <c r="M31" s="4" t="str">
        <f>IF(analysis_calculated[[#This Row],[ECB_DFR]]&lt;0,"Negative Rate",IF(analysis_calculated[[#This Row],[ECB_DFR]]=0,"Zero Rate","Positive Rate"))</f>
        <v>Negative Rate</v>
      </c>
    </row>
    <row r="32" spans="1:13" x14ac:dyDescent="0.35">
      <c r="A32" s="1">
        <v>44408</v>
      </c>
      <c r="B32" t="s">
        <v>36</v>
      </c>
      <c r="C32">
        <f>YEAR(analysis_calculated[[#This Row],[DATE]])</f>
        <v>2021</v>
      </c>
      <c r="D32" s="4">
        <v>1.32</v>
      </c>
      <c r="E32" s="4">
        <v>49313</v>
      </c>
      <c r="F32" s="4">
        <v>1179705</v>
      </c>
      <c r="G32" s="4">
        <f>_xlfn.XLOOKUP(analysis_calculated[[#This Row],[DATE]],Table1[DATE],Table1[Deposit facility - date of changes (raw data) - Level (FM.D.U2.EUR.4F.KR.DFR.LEV)],,-1)</f>
        <v>-0.5</v>
      </c>
      <c r="H32" s="4">
        <f>analysis_calculated[[#This Row],[Corporate_Loan_Rate]]-analysis_calculated[[#This Row],[ECB_DFR]]</f>
        <v>1.82</v>
      </c>
      <c r="I32" s="5">
        <f>IFERROR(analysis_calculated[[#This Row],[New_Loan_Volume]]/_xlfn.XLOOKUP(EOMONTH(analysis_calculated[[#This Row],[DATE]],-12),analysis_calculated[DATE],analysis_calculated[New_Loan_Volume])-1,"")</f>
        <v>6.5520901371651785E-3</v>
      </c>
      <c r="J32" s="5">
        <f>IFERROR(analysis_calculated[[#This Row],[Loan_Stock]]/_xlfn.XLOOKUP(EOMONTH(analysis_calculated[[#This Row],[DATE]],-12),analysis_calculated[DATE],analysis_calculated[Loan_Stock])-1,"")</f>
        <v>2.0465448606716397E-2</v>
      </c>
      <c r="K32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49049</v>
      </c>
      <c r="L32" s="4">
        <f>_xlfn.IFNA(analysis_calculated[[#This Row],[ECB_DFR]]-_xlfn.XLOOKUP(EOMONTH(analysis_calculated[[#This Row],[DATE]],-1),analysis_calculated[DATE],analysis_calculated[ECB_DFR]),"")</f>
        <v>0</v>
      </c>
      <c r="M32" s="4" t="str">
        <f>IF(analysis_calculated[[#This Row],[ECB_DFR]]&lt;0,"Negative Rate",IF(analysis_calculated[[#This Row],[ECB_DFR]]=0,"Zero Rate","Positive Rate"))</f>
        <v>Negative Rate</v>
      </c>
    </row>
    <row r="33" spans="1:13" x14ac:dyDescent="0.35">
      <c r="A33" s="1">
        <v>44439</v>
      </c>
      <c r="B33" t="s">
        <v>37</v>
      </c>
      <c r="C33">
        <f>YEAR(analysis_calculated[[#This Row],[DATE]])</f>
        <v>2021</v>
      </c>
      <c r="D33" s="4">
        <v>1.23</v>
      </c>
      <c r="E33" s="4">
        <v>39308</v>
      </c>
      <c r="F33" s="4">
        <v>1184643</v>
      </c>
      <c r="G33" s="4">
        <f>_xlfn.XLOOKUP(analysis_calculated[[#This Row],[DATE]],Table1[DATE],Table1[Deposit facility - date of changes (raw data) - Level (FM.D.U2.EUR.4F.KR.DFR.LEV)],,-1)</f>
        <v>-0.5</v>
      </c>
      <c r="H33" s="4">
        <f>analysis_calculated[[#This Row],[Corporate_Loan_Rate]]-analysis_calculated[[#This Row],[ECB_DFR]]</f>
        <v>1.73</v>
      </c>
      <c r="I33" s="5">
        <f>IFERROR(analysis_calculated[[#This Row],[New_Loan_Volume]]/_xlfn.XLOOKUP(EOMONTH(analysis_calculated[[#This Row],[DATE]],-12),analysis_calculated[DATE],analysis_calculated[New_Loan_Volume])-1,"")</f>
        <v>5.3452796090303067E-4</v>
      </c>
      <c r="J33" s="5">
        <f>IFERROR(analysis_calculated[[#This Row],[Loan_Stock]]/_xlfn.XLOOKUP(EOMONTH(analysis_calculated[[#This Row],[DATE]],-12),analysis_calculated[DATE],analysis_calculated[Loan_Stock])-1,"")</f>
        <v>1.9395871106089535E-2</v>
      </c>
      <c r="K33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47955.666666666664</v>
      </c>
      <c r="L33" s="4">
        <f>_xlfn.IFNA(analysis_calculated[[#This Row],[ECB_DFR]]-_xlfn.XLOOKUP(EOMONTH(analysis_calculated[[#This Row],[DATE]],-1),analysis_calculated[DATE],analysis_calculated[ECB_DFR]),"")</f>
        <v>0</v>
      </c>
      <c r="M33" s="4" t="str">
        <f>IF(analysis_calculated[[#This Row],[ECB_DFR]]&lt;0,"Negative Rate",IF(analysis_calculated[[#This Row],[ECB_DFR]]=0,"Zero Rate","Positive Rate"))</f>
        <v>Negative Rate</v>
      </c>
    </row>
    <row r="34" spans="1:13" x14ac:dyDescent="0.35">
      <c r="A34" s="1">
        <v>44469</v>
      </c>
      <c r="B34" t="s">
        <v>38</v>
      </c>
      <c r="C34">
        <f>YEAR(analysis_calculated[[#This Row],[DATE]])</f>
        <v>2021</v>
      </c>
      <c r="D34" s="4">
        <v>1.38</v>
      </c>
      <c r="E34" s="4">
        <v>45930</v>
      </c>
      <c r="F34" s="4">
        <v>1184641</v>
      </c>
      <c r="G34" s="4">
        <f>_xlfn.XLOOKUP(analysis_calculated[[#This Row],[DATE]],Table1[DATE],Table1[Deposit facility - date of changes (raw data) - Level (FM.D.U2.EUR.4F.KR.DFR.LEV)],,-1)</f>
        <v>-0.5</v>
      </c>
      <c r="H34" s="4">
        <f>analysis_calculated[[#This Row],[Corporate_Loan_Rate]]-analysis_calculated[[#This Row],[ECB_DFR]]</f>
        <v>1.88</v>
      </c>
      <c r="I34" s="5">
        <f>IFERROR(analysis_calculated[[#This Row],[New_Loan_Volume]]/_xlfn.XLOOKUP(EOMONTH(analysis_calculated[[#This Row],[DATE]],-12),analysis_calculated[DATE],analysis_calculated[New_Loan_Volume])-1,"")</f>
        <v>-7.607821049243646E-2</v>
      </c>
      <c r="J34" s="5">
        <f>IFERROR(analysis_calculated[[#This Row],[Loan_Stock]]/_xlfn.XLOOKUP(EOMONTH(analysis_calculated[[#This Row],[DATE]],-12),analysis_calculated[DATE],analysis_calculated[Loan_Stock])-1,"")</f>
        <v>3.0240862429426585E-2</v>
      </c>
      <c r="K34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44850.333333333336</v>
      </c>
      <c r="L34" s="4">
        <f>_xlfn.IFNA(analysis_calculated[[#This Row],[ECB_DFR]]-_xlfn.XLOOKUP(EOMONTH(analysis_calculated[[#This Row],[DATE]],-1),analysis_calculated[DATE],analysis_calculated[ECB_DFR]),"")</f>
        <v>0</v>
      </c>
      <c r="M34" s="4" t="str">
        <f>IF(analysis_calculated[[#This Row],[ECB_DFR]]&lt;0,"Negative Rate",IF(analysis_calculated[[#This Row],[ECB_DFR]]=0,"Zero Rate","Positive Rate"))</f>
        <v>Negative Rate</v>
      </c>
    </row>
    <row r="35" spans="1:13" x14ac:dyDescent="0.35">
      <c r="A35" s="1">
        <v>44500</v>
      </c>
      <c r="B35" t="s">
        <v>39</v>
      </c>
      <c r="C35">
        <f>YEAR(analysis_calculated[[#This Row],[DATE]])</f>
        <v>2021</v>
      </c>
      <c r="D35" s="4">
        <v>1.1599999999999999</v>
      </c>
      <c r="E35" s="4">
        <v>51018</v>
      </c>
      <c r="F35" s="4">
        <v>1199371</v>
      </c>
      <c r="G35" s="4">
        <f>_xlfn.XLOOKUP(analysis_calculated[[#This Row],[DATE]],Table1[DATE],Table1[Deposit facility - date of changes (raw data) - Level (FM.D.U2.EUR.4F.KR.DFR.LEV)],,-1)</f>
        <v>-0.5</v>
      </c>
      <c r="H35" s="4">
        <f>analysis_calculated[[#This Row],[Corporate_Loan_Rate]]-analysis_calculated[[#This Row],[ECB_DFR]]</f>
        <v>1.66</v>
      </c>
      <c r="I35" s="5">
        <f>IFERROR(analysis_calculated[[#This Row],[New_Loan_Volume]]/_xlfn.XLOOKUP(EOMONTH(analysis_calculated[[#This Row],[DATE]],-12),analysis_calculated[DATE],analysis_calculated[New_Loan_Volume])-1,"")</f>
        <v>0.10834003171775541</v>
      </c>
      <c r="J35" s="5">
        <f>IFERROR(analysis_calculated[[#This Row],[Loan_Stock]]/_xlfn.XLOOKUP(EOMONTH(analysis_calculated[[#This Row],[DATE]],-12),analysis_calculated[DATE],analysis_calculated[Loan_Stock])-1,"")</f>
        <v>4.0089598679087235E-2</v>
      </c>
      <c r="K35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45418.666666666664</v>
      </c>
      <c r="L35" s="4">
        <f>_xlfn.IFNA(analysis_calculated[[#This Row],[ECB_DFR]]-_xlfn.XLOOKUP(EOMONTH(analysis_calculated[[#This Row],[DATE]],-1),analysis_calculated[DATE],analysis_calculated[ECB_DFR]),"")</f>
        <v>0</v>
      </c>
      <c r="M35" s="4" t="str">
        <f>IF(analysis_calculated[[#This Row],[ECB_DFR]]&lt;0,"Negative Rate",IF(analysis_calculated[[#This Row],[ECB_DFR]]=0,"Zero Rate","Positive Rate"))</f>
        <v>Negative Rate</v>
      </c>
    </row>
    <row r="36" spans="1:13" x14ac:dyDescent="0.35">
      <c r="A36" s="1">
        <v>44530</v>
      </c>
      <c r="B36" t="s">
        <v>40</v>
      </c>
      <c r="C36">
        <f>YEAR(analysis_calculated[[#This Row],[DATE]])</f>
        <v>2021</v>
      </c>
      <c r="D36" s="4">
        <v>1.1299999999999999</v>
      </c>
      <c r="E36" s="4">
        <v>56535</v>
      </c>
      <c r="F36" s="4">
        <v>1209463</v>
      </c>
      <c r="G36" s="4">
        <f>_xlfn.XLOOKUP(analysis_calculated[[#This Row],[DATE]],Table1[DATE],Table1[Deposit facility - date of changes (raw data) - Level (FM.D.U2.EUR.4F.KR.DFR.LEV)],,-1)</f>
        <v>-0.5</v>
      </c>
      <c r="H36" s="4">
        <f>analysis_calculated[[#This Row],[Corporate_Loan_Rate]]-analysis_calculated[[#This Row],[ECB_DFR]]</f>
        <v>1.63</v>
      </c>
      <c r="I36" s="5">
        <f>IFERROR(analysis_calculated[[#This Row],[New_Loan_Volume]]/_xlfn.XLOOKUP(EOMONTH(analysis_calculated[[#This Row],[DATE]],-12),analysis_calculated[DATE],analysis_calculated[New_Loan_Volume])-1,"")</f>
        <v>0.26208282174349806</v>
      </c>
      <c r="J36" s="5">
        <f>IFERROR(analysis_calculated[[#This Row],[Loan_Stock]]/_xlfn.XLOOKUP(EOMONTH(analysis_calculated[[#This Row],[DATE]],-12),analysis_calculated[DATE],analysis_calculated[Loan_Stock])-1,"")</f>
        <v>4.7899890658113398E-2</v>
      </c>
      <c r="K36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51161</v>
      </c>
      <c r="L36" s="4">
        <f>_xlfn.IFNA(analysis_calculated[[#This Row],[ECB_DFR]]-_xlfn.XLOOKUP(EOMONTH(analysis_calculated[[#This Row],[DATE]],-1),analysis_calculated[DATE],analysis_calculated[ECB_DFR]),"")</f>
        <v>0</v>
      </c>
      <c r="M36" s="4" t="str">
        <f>IF(analysis_calculated[[#This Row],[ECB_DFR]]&lt;0,"Negative Rate",IF(analysis_calculated[[#This Row],[ECB_DFR]]=0,"Zero Rate","Positive Rate"))</f>
        <v>Negative Rate</v>
      </c>
    </row>
    <row r="37" spans="1:13" x14ac:dyDescent="0.35">
      <c r="A37" s="1">
        <v>44561</v>
      </c>
      <c r="B37" t="s">
        <v>41</v>
      </c>
      <c r="C37">
        <f>YEAR(analysis_calculated[[#This Row],[DATE]])</f>
        <v>2021</v>
      </c>
      <c r="D37" s="4">
        <v>1.1499999999999999</v>
      </c>
      <c r="E37" s="4">
        <v>75953</v>
      </c>
      <c r="F37" s="4">
        <v>1215825</v>
      </c>
      <c r="G37" s="4">
        <f>_xlfn.XLOOKUP(analysis_calculated[[#This Row],[DATE]],Table1[DATE],Table1[Deposit facility - date of changes (raw data) - Level (FM.D.U2.EUR.4F.KR.DFR.LEV)],,-1)</f>
        <v>-0.5</v>
      </c>
      <c r="H37" s="4">
        <f>analysis_calculated[[#This Row],[Corporate_Loan_Rate]]-analysis_calculated[[#This Row],[ECB_DFR]]</f>
        <v>1.65</v>
      </c>
      <c r="I37" s="5">
        <f>IFERROR(analysis_calculated[[#This Row],[New_Loan_Volume]]/_xlfn.XLOOKUP(EOMONTH(analysis_calculated[[#This Row],[DATE]],-12),analysis_calculated[DATE],analysis_calculated[New_Loan_Volume])-1,"")</f>
        <v>0.23595267928335484</v>
      </c>
      <c r="J37" s="5">
        <f>IFERROR(analysis_calculated[[#This Row],[Loan_Stock]]/_xlfn.XLOOKUP(EOMONTH(analysis_calculated[[#This Row],[DATE]],-12),analysis_calculated[DATE],analysis_calculated[Loan_Stock])-1,"")</f>
        <v>5.657027551254501E-2</v>
      </c>
      <c r="K37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61168.666666666664</v>
      </c>
      <c r="L37" s="4">
        <f>_xlfn.IFNA(analysis_calculated[[#This Row],[ECB_DFR]]-_xlfn.XLOOKUP(EOMONTH(analysis_calculated[[#This Row],[DATE]],-1),analysis_calculated[DATE],analysis_calculated[ECB_DFR]),"")</f>
        <v>0</v>
      </c>
      <c r="M37" s="4" t="str">
        <f>IF(analysis_calculated[[#This Row],[ECB_DFR]]&lt;0,"Negative Rate",IF(analysis_calculated[[#This Row],[ECB_DFR]]=0,"Zero Rate","Positive Rate"))</f>
        <v>Negative Rate</v>
      </c>
    </row>
    <row r="38" spans="1:13" x14ac:dyDescent="0.35">
      <c r="A38" s="1">
        <v>44592</v>
      </c>
      <c r="B38" t="s">
        <v>42</v>
      </c>
      <c r="C38">
        <f>YEAR(analysis_calculated[[#This Row],[DATE]])</f>
        <v>2022</v>
      </c>
      <c r="D38" s="4">
        <v>1.3</v>
      </c>
      <c r="E38" s="4">
        <v>43783</v>
      </c>
      <c r="F38" s="4">
        <v>1223896</v>
      </c>
      <c r="G38" s="4">
        <f>_xlfn.XLOOKUP(analysis_calculated[[#This Row],[DATE]],Table1[DATE],Table1[Deposit facility - date of changes (raw data) - Level (FM.D.U2.EUR.4F.KR.DFR.LEV)],,-1)</f>
        <v>-0.5</v>
      </c>
      <c r="H38" s="4">
        <f>analysis_calculated[[#This Row],[Corporate_Loan_Rate]]-analysis_calculated[[#This Row],[ECB_DFR]]</f>
        <v>1.8</v>
      </c>
      <c r="I38" s="5">
        <f>IFERROR(analysis_calculated[[#This Row],[New_Loan_Volume]]/_xlfn.XLOOKUP(EOMONTH(analysis_calculated[[#This Row],[DATE]],-12),analysis_calculated[DATE],analysis_calculated[New_Loan_Volume])-1,"")</f>
        <v>0.1681073581986019</v>
      </c>
      <c r="J38" s="5">
        <f>IFERROR(analysis_calculated[[#This Row],[Loan_Stock]]/_xlfn.XLOOKUP(EOMONTH(analysis_calculated[[#This Row],[DATE]],-12),analysis_calculated[DATE],analysis_calculated[Loan_Stock])-1,"")</f>
        <v>6.114684693823591E-2</v>
      </c>
      <c r="K38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58757</v>
      </c>
      <c r="L38" s="4">
        <f>_xlfn.IFNA(analysis_calculated[[#This Row],[ECB_DFR]]-_xlfn.XLOOKUP(EOMONTH(analysis_calculated[[#This Row],[DATE]],-1),analysis_calculated[DATE],analysis_calculated[ECB_DFR]),"")</f>
        <v>0</v>
      </c>
      <c r="M38" s="4" t="str">
        <f>IF(analysis_calculated[[#This Row],[ECB_DFR]]&lt;0,"Negative Rate",IF(analysis_calculated[[#This Row],[ECB_DFR]]=0,"Zero Rate","Positive Rate"))</f>
        <v>Negative Rate</v>
      </c>
    </row>
    <row r="39" spans="1:13" x14ac:dyDescent="0.35">
      <c r="A39" s="1">
        <v>44620</v>
      </c>
      <c r="B39" t="s">
        <v>43</v>
      </c>
      <c r="C39">
        <f>YEAR(analysis_calculated[[#This Row],[DATE]])</f>
        <v>2022</v>
      </c>
      <c r="D39" s="4">
        <v>1.36</v>
      </c>
      <c r="E39" s="4">
        <v>47988</v>
      </c>
      <c r="F39" s="4">
        <v>1235419</v>
      </c>
      <c r="G39" s="4">
        <f>_xlfn.XLOOKUP(analysis_calculated[[#This Row],[DATE]],Table1[DATE],Table1[Deposit facility - date of changes (raw data) - Level (FM.D.U2.EUR.4F.KR.DFR.LEV)],,-1)</f>
        <v>-0.5</v>
      </c>
      <c r="H39" s="4">
        <f>analysis_calculated[[#This Row],[Corporate_Loan_Rate]]-analysis_calculated[[#This Row],[ECB_DFR]]</f>
        <v>1.86</v>
      </c>
      <c r="I39" s="5">
        <f>IFERROR(analysis_calculated[[#This Row],[New_Loan_Volume]]/_xlfn.XLOOKUP(EOMONTH(analysis_calculated[[#This Row],[DATE]],-12),analysis_calculated[DATE],analysis_calculated[New_Loan_Volume])-1,"")</f>
        <v>0.20548633440514474</v>
      </c>
      <c r="J39" s="5">
        <f>IFERROR(analysis_calculated[[#This Row],[Loan_Stock]]/_xlfn.XLOOKUP(EOMONTH(analysis_calculated[[#This Row],[DATE]],-12),analysis_calculated[DATE],analysis_calculated[Loan_Stock])-1,"")</f>
        <v>6.3370904505528181E-2</v>
      </c>
      <c r="K39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55908</v>
      </c>
      <c r="L39" s="4">
        <f>_xlfn.IFNA(analysis_calculated[[#This Row],[ECB_DFR]]-_xlfn.XLOOKUP(EOMONTH(analysis_calculated[[#This Row],[DATE]],-1),analysis_calculated[DATE],analysis_calculated[ECB_DFR]),"")</f>
        <v>0</v>
      </c>
      <c r="M39" s="4" t="str">
        <f>IF(analysis_calculated[[#This Row],[ECB_DFR]]&lt;0,"Negative Rate",IF(analysis_calculated[[#This Row],[ECB_DFR]]=0,"Zero Rate","Positive Rate"))</f>
        <v>Negative Rate</v>
      </c>
    </row>
    <row r="40" spans="1:13" x14ac:dyDescent="0.35">
      <c r="A40" s="1">
        <v>44651</v>
      </c>
      <c r="B40" t="s">
        <v>44</v>
      </c>
      <c r="C40">
        <f>YEAR(analysis_calculated[[#This Row],[DATE]])</f>
        <v>2022</v>
      </c>
      <c r="D40" s="4">
        <v>1.55</v>
      </c>
      <c r="E40" s="4">
        <v>70681</v>
      </c>
      <c r="F40" s="4">
        <v>1245095</v>
      </c>
      <c r="G40" s="4">
        <f>_xlfn.XLOOKUP(analysis_calculated[[#This Row],[DATE]],Table1[DATE],Table1[Deposit facility - date of changes (raw data) - Level (FM.D.U2.EUR.4F.KR.DFR.LEV)],,-1)</f>
        <v>-0.5</v>
      </c>
      <c r="H40" s="4">
        <f>analysis_calculated[[#This Row],[Corporate_Loan_Rate]]-analysis_calculated[[#This Row],[ECB_DFR]]</f>
        <v>2.0499999999999998</v>
      </c>
      <c r="I40" s="5">
        <f>IFERROR(analysis_calculated[[#This Row],[New_Loan_Volume]]/_xlfn.XLOOKUP(EOMONTH(analysis_calculated[[#This Row],[DATE]],-12),analysis_calculated[DATE],analysis_calculated[New_Loan_Volume])-1,"")</f>
        <v>-1.0139345984174764E-2</v>
      </c>
      <c r="J40" s="5">
        <f>IFERROR(analysis_calculated[[#This Row],[Loan_Stock]]/_xlfn.XLOOKUP(EOMONTH(analysis_calculated[[#This Row],[DATE]],-12),analysis_calculated[DATE],analysis_calculated[Loan_Stock])-1,"")</f>
        <v>5.4708511822422645E-2</v>
      </c>
      <c r="K40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54150.666666666664</v>
      </c>
      <c r="L40" s="4">
        <f>_xlfn.IFNA(analysis_calculated[[#This Row],[ECB_DFR]]-_xlfn.XLOOKUP(EOMONTH(analysis_calculated[[#This Row],[DATE]],-1),analysis_calculated[DATE],analysis_calculated[ECB_DFR]),"")</f>
        <v>0</v>
      </c>
      <c r="M40" s="4" t="str">
        <f>IF(analysis_calculated[[#This Row],[ECB_DFR]]&lt;0,"Negative Rate",IF(analysis_calculated[[#This Row],[ECB_DFR]]=0,"Zero Rate","Positive Rate"))</f>
        <v>Negative Rate</v>
      </c>
    </row>
    <row r="41" spans="1:13" x14ac:dyDescent="0.35">
      <c r="A41" s="1">
        <v>44681</v>
      </c>
      <c r="B41" t="s">
        <v>45</v>
      </c>
      <c r="C41">
        <f>YEAR(analysis_calculated[[#This Row],[DATE]])</f>
        <v>2022</v>
      </c>
      <c r="D41" s="4">
        <v>1.53</v>
      </c>
      <c r="E41" s="4">
        <v>54712</v>
      </c>
      <c r="F41" s="4">
        <v>1254942</v>
      </c>
      <c r="G41" s="4">
        <f>_xlfn.XLOOKUP(analysis_calculated[[#This Row],[DATE]],Table1[DATE],Table1[Deposit facility - date of changes (raw data) - Level (FM.D.U2.EUR.4F.KR.DFR.LEV)],,-1)</f>
        <v>-0.5</v>
      </c>
      <c r="H41" s="4">
        <f>analysis_calculated[[#This Row],[Corporate_Loan_Rate]]-analysis_calculated[[#This Row],[ECB_DFR]]</f>
        <v>2.0300000000000002</v>
      </c>
      <c r="I41" s="5">
        <f>IFERROR(analysis_calculated[[#This Row],[New_Loan_Volume]]/_xlfn.XLOOKUP(EOMONTH(analysis_calculated[[#This Row],[DATE]],-12),analysis_calculated[DATE],analysis_calculated[New_Loan_Volume])-1,"")</f>
        <v>0.44522809520035933</v>
      </c>
      <c r="J41" s="5">
        <f>IFERROR(analysis_calculated[[#This Row],[Loan_Stock]]/_xlfn.XLOOKUP(EOMONTH(analysis_calculated[[#This Row],[DATE]],-12),analysis_calculated[DATE],analysis_calculated[Loan_Stock])-1,"")</f>
        <v>7.1308020839824682E-2</v>
      </c>
      <c r="K41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57793.666666666664</v>
      </c>
      <c r="L41" s="4">
        <f>_xlfn.IFNA(analysis_calculated[[#This Row],[ECB_DFR]]-_xlfn.XLOOKUP(EOMONTH(analysis_calculated[[#This Row],[DATE]],-1),analysis_calculated[DATE],analysis_calculated[ECB_DFR]),"")</f>
        <v>0</v>
      </c>
      <c r="M41" s="4" t="str">
        <f>IF(analysis_calculated[[#This Row],[ECB_DFR]]&lt;0,"Negative Rate",IF(analysis_calculated[[#This Row],[ECB_DFR]]=0,"Zero Rate","Positive Rate"))</f>
        <v>Negative Rate</v>
      </c>
    </row>
    <row r="42" spans="1:13" x14ac:dyDescent="0.35">
      <c r="A42" s="1">
        <v>44712</v>
      </c>
      <c r="B42" t="s">
        <v>46</v>
      </c>
      <c r="C42">
        <f>YEAR(analysis_calculated[[#This Row],[DATE]])</f>
        <v>2022</v>
      </c>
      <c r="D42" s="4">
        <v>1.41</v>
      </c>
      <c r="E42" s="4">
        <v>59640</v>
      </c>
      <c r="F42" s="4">
        <v>1266067</v>
      </c>
      <c r="G42" s="4">
        <f>_xlfn.XLOOKUP(analysis_calculated[[#This Row],[DATE]],Table1[DATE],Table1[Deposit facility - date of changes (raw data) - Level (FM.D.U2.EUR.4F.KR.DFR.LEV)],,-1)</f>
        <v>-0.5</v>
      </c>
      <c r="H42" s="4">
        <f>analysis_calculated[[#This Row],[Corporate_Loan_Rate]]-analysis_calculated[[#This Row],[ECB_DFR]]</f>
        <v>1.91</v>
      </c>
      <c r="I42" s="5">
        <f>IFERROR(analysis_calculated[[#This Row],[New_Loan_Volume]]/_xlfn.XLOOKUP(EOMONTH(analysis_calculated[[#This Row],[DATE]],-12),analysis_calculated[DATE],analysis_calculated[New_Loan_Volume])-1,"")</f>
        <v>0.40039447731755429</v>
      </c>
      <c r="J42" s="5">
        <f>IFERROR(analysis_calculated[[#This Row],[Loan_Stock]]/_xlfn.XLOOKUP(EOMONTH(analysis_calculated[[#This Row],[DATE]],-12),analysis_calculated[DATE],analysis_calculated[Loan_Stock])-1,"")</f>
        <v>7.5882223474235788E-2</v>
      </c>
      <c r="K42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61677.666666666664</v>
      </c>
      <c r="L42" s="4">
        <f>_xlfn.IFNA(analysis_calculated[[#This Row],[ECB_DFR]]-_xlfn.XLOOKUP(EOMONTH(analysis_calculated[[#This Row],[DATE]],-1),analysis_calculated[DATE],analysis_calculated[ECB_DFR]),"")</f>
        <v>0</v>
      </c>
      <c r="M42" s="4" t="str">
        <f>IF(analysis_calculated[[#This Row],[ECB_DFR]]&lt;0,"Negative Rate",IF(analysis_calculated[[#This Row],[ECB_DFR]]=0,"Zero Rate","Positive Rate"))</f>
        <v>Negative Rate</v>
      </c>
    </row>
    <row r="43" spans="1:13" x14ac:dyDescent="0.35">
      <c r="A43" s="1">
        <v>44742</v>
      </c>
      <c r="B43" t="s">
        <v>47</v>
      </c>
      <c r="C43">
        <f>YEAR(analysis_calculated[[#This Row],[DATE]])</f>
        <v>2022</v>
      </c>
      <c r="D43" s="4">
        <v>2.37</v>
      </c>
      <c r="E43" s="4">
        <v>94842</v>
      </c>
      <c r="F43" s="4">
        <v>1280408</v>
      </c>
      <c r="G43" s="4">
        <f>_xlfn.XLOOKUP(analysis_calculated[[#This Row],[DATE]],Table1[DATE],Table1[Deposit facility - date of changes (raw data) - Level (FM.D.U2.EUR.4F.KR.DFR.LEV)],,-1)</f>
        <v>-0.5</v>
      </c>
      <c r="H43" s="4">
        <f>analysis_calculated[[#This Row],[Corporate_Loan_Rate]]-analysis_calculated[[#This Row],[ECB_DFR]]</f>
        <v>2.87</v>
      </c>
      <c r="I43" s="5">
        <f>IFERROR(analysis_calculated[[#This Row],[New_Loan_Volume]]/_xlfn.XLOOKUP(EOMONTH(analysis_calculated[[#This Row],[DATE]],-12),analysis_calculated[DATE],analysis_calculated[New_Loan_Volume])-1,"")</f>
        <v>0.71672157260254132</v>
      </c>
      <c r="J43" s="5">
        <f>IFERROR(analysis_calculated[[#This Row],[Loan_Stock]]/_xlfn.XLOOKUP(EOMONTH(analysis_calculated[[#This Row],[DATE]],-12),analysis_calculated[DATE],analysis_calculated[Loan_Stock])-1,"")</f>
        <v>9.2322142589633671E-2</v>
      </c>
      <c r="K43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69731.333333333328</v>
      </c>
      <c r="L43" s="4">
        <f>_xlfn.IFNA(analysis_calculated[[#This Row],[ECB_DFR]]-_xlfn.XLOOKUP(EOMONTH(analysis_calculated[[#This Row],[DATE]],-1),analysis_calculated[DATE],analysis_calculated[ECB_DFR]),"")</f>
        <v>0</v>
      </c>
      <c r="M43" s="4" t="str">
        <f>IF(analysis_calculated[[#This Row],[ECB_DFR]]&lt;0,"Negative Rate",IF(analysis_calculated[[#This Row],[ECB_DFR]]=0,"Zero Rate","Positive Rate"))</f>
        <v>Negative Rate</v>
      </c>
    </row>
    <row r="44" spans="1:13" x14ac:dyDescent="0.35">
      <c r="A44" s="1">
        <v>44773</v>
      </c>
      <c r="B44" t="s">
        <v>48</v>
      </c>
      <c r="C44">
        <f>YEAR(analysis_calculated[[#This Row],[DATE]])</f>
        <v>2022</v>
      </c>
      <c r="D44" s="4">
        <v>1.94</v>
      </c>
      <c r="E44" s="4">
        <v>58260</v>
      </c>
      <c r="F44" s="4">
        <v>1297883</v>
      </c>
      <c r="G44" s="4">
        <f>_xlfn.XLOOKUP(analysis_calculated[[#This Row],[DATE]],Table1[DATE],Table1[Deposit facility - date of changes (raw data) - Level (FM.D.U2.EUR.4F.KR.DFR.LEV)],,-1)</f>
        <v>0</v>
      </c>
      <c r="H44" s="4">
        <f>analysis_calculated[[#This Row],[Corporate_Loan_Rate]]-analysis_calculated[[#This Row],[ECB_DFR]]</f>
        <v>1.94</v>
      </c>
      <c r="I44" s="5">
        <f>IFERROR(analysis_calculated[[#This Row],[New_Loan_Volume]]/_xlfn.XLOOKUP(EOMONTH(analysis_calculated[[#This Row],[DATE]],-12),analysis_calculated[DATE],analysis_calculated[New_Loan_Volume])-1,"")</f>
        <v>0.18143288787946377</v>
      </c>
      <c r="J44" s="5">
        <f>IFERROR(analysis_calculated[[#This Row],[Loan_Stock]]/_xlfn.XLOOKUP(EOMONTH(analysis_calculated[[#This Row],[DATE]],-12),analysis_calculated[DATE],analysis_calculated[Loan_Stock])-1,"")</f>
        <v>0.10017589143048466</v>
      </c>
      <c r="K44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70914</v>
      </c>
      <c r="L44" s="4">
        <f>_xlfn.IFNA(analysis_calculated[[#This Row],[ECB_DFR]]-_xlfn.XLOOKUP(EOMONTH(analysis_calculated[[#This Row],[DATE]],-1),analysis_calculated[DATE],analysis_calculated[ECB_DFR]),"")</f>
        <v>0.5</v>
      </c>
      <c r="M44" s="4" t="str">
        <f>IF(analysis_calculated[[#This Row],[ECB_DFR]]&lt;0,"Negative Rate",IF(analysis_calculated[[#This Row],[ECB_DFR]]=0,"Zero Rate","Positive Rate"))</f>
        <v>Zero Rate</v>
      </c>
    </row>
    <row r="45" spans="1:13" x14ac:dyDescent="0.35">
      <c r="A45" s="1">
        <v>44804</v>
      </c>
      <c r="B45" t="s">
        <v>49</v>
      </c>
      <c r="C45">
        <f>YEAR(analysis_calculated[[#This Row],[DATE]])</f>
        <v>2022</v>
      </c>
      <c r="D45" s="4">
        <v>2.1</v>
      </c>
      <c r="E45" s="4">
        <v>66993</v>
      </c>
      <c r="F45" s="4">
        <v>1327547</v>
      </c>
      <c r="G45" s="4">
        <f>_xlfn.XLOOKUP(analysis_calculated[[#This Row],[DATE]],Table1[DATE],Table1[Deposit facility - date of changes (raw data) - Level (FM.D.U2.EUR.4F.KR.DFR.LEV)],,-1)</f>
        <v>0</v>
      </c>
      <c r="H45" s="4">
        <f>analysis_calculated[[#This Row],[Corporate_Loan_Rate]]-analysis_calculated[[#This Row],[ECB_DFR]]</f>
        <v>2.1</v>
      </c>
      <c r="I45" s="5">
        <f>IFERROR(analysis_calculated[[#This Row],[New_Loan_Volume]]/_xlfn.XLOOKUP(EOMONTH(analysis_calculated[[#This Row],[DATE]],-12),analysis_calculated[DATE],analysis_calculated[New_Loan_Volume])-1,"")</f>
        <v>0.70430955530680772</v>
      </c>
      <c r="J45" s="5">
        <f>IFERROR(analysis_calculated[[#This Row],[Loan_Stock]]/_xlfn.XLOOKUP(EOMONTH(analysis_calculated[[#This Row],[DATE]],-12),analysis_calculated[DATE],analysis_calculated[Loan_Stock])-1,"")</f>
        <v>0.12063043465415313</v>
      </c>
      <c r="K45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73365</v>
      </c>
      <c r="L45" s="4">
        <f>_xlfn.IFNA(analysis_calculated[[#This Row],[ECB_DFR]]-_xlfn.XLOOKUP(EOMONTH(analysis_calculated[[#This Row],[DATE]],-1),analysis_calculated[DATE],analysis_calculated[ECB_DFR]),"")</f>
        <v>0</v>
      </c>
      <c r="M45" s="4" t="str">
        <f>IF(analysis_calculated[[#This Row],[ECB_DFR]]&lt;0,"Negative Rate",IF(analysis_calculated[[#This Row],[ECB_DFR]]=0,"Zero Rate","Positive Rate"))</f>
        <v>Zero Rate</v>
      </c>
    </row>
    <row r="46" spans="1:13" x14ac:dyDescent="0.35">
      <c r="A46" s="1">
        <v>44834</v>
      </c>
      <c r="B46" t="s">
        <v>50</v>
      </c>
      <c r="C46">
        <f>YEAR(analysis_calculated[[#This Row],[DATE]])</f>
        <v>2022</v>
      </c>
      <c r="D46" s="4">
        <v>2.85</v>
      </c>
      <c r="E46" s="4">
        <v>70879</v>
      </c>
      <c r="F46" s="4">
        <v>1337897</v>
      </c>
      <c r="G46" s="4">
        <f>_xlfn.XLOOKUP(analysis_calculated[[#This Row],[DATE]],Table1[DATE],Table1[Deposit facility - date of changes (raw data) - Level (FM.D.U2.EUR.4F.KR.DFR.LEV)],,-1)</f>
        <v>0.75</v>
      </c>
      <c r="H46" s="4">
        <f>analysis_calculated[[#This Row],[Corporate_Loan_Rate]]-analysis_calculated[[#This Row],[ECB_DFR]]</f>
        <v>2.1</v>
      </c>
      <c r="I46" s="5">
        <f>IFERROR(analysis_calculated[[#This Row],[New_Loan_Volume]]/_xlfn.XLOOKUP(EOMONTH(analysis_calculated[[#This Row],[DATE]],-12),analysis_calculated[DATE],analysis_calculated[New_Loan_Volume])-1,"")</f>
        <v>0.54319616808186377</v>
      </c>
      <c r="J46" s="5">
        <f>IFERROR(analysis_calculated[[#This Row],[Loan_Stock]]/_xlfn.XLOOKUP(EOMONTH(analysis_calculated[[#This Row],[DATE]],-12),analysis_calculated[DATE],analysis_calculated[Loan_Stock])-1,"")</f>
        <v>0.12936915065407995</v>
      </c>
      <c r="K46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65377.333333333336</v>
      </c>
      <c r="L46" s="4">
        <f>_xlfn.IFNA(analysis_calculated[[#This Row],[ECB_DFR]]-_xlfn.XLOOKUP(EOMONTH(analysis_calculated[[#This Row],[DATE]],-1),analysis_calculated[DATE],analysis_calculated[ECB_DFR]),"")</f>
        <v>0.75</v>
      </c>
      <c r="M46" s="4" t="str">
        <f>IF(analysis_calculated[[#This Row],[ECB_DFR]]&lt;0,"Negative Rate",IF(analysis_calculated[[#This Row],[ECB_DFR]]=0,"Zero Rate","Positive Rate"))</f>
        <v>Positive Rate</v>
      </c>
    </row>
    <row r="47" spans="1:13" x14ac:dyDescent="0.35">
      <c r="A47" s="1">
        <v>44865</v>
      </c>
      <c r="B47" t="s">
        <v>51</v>
      </c>
      <c r="C47">
        <f>YEAR(analysis_calculated[[#This Row],[DATE]])</f>
        <v>2022</v>
      </c>
      <c r="D47" s="4">
        <v>2.97</v>
      </c>
      <c r="E47" s="4">
        <v>63154</v>
      </c>
      <c r="F47" s="4">
        <v>1352001</v>
      </c>
      <c r="G47" s="4">
        <f>_xlfn.XLOOKUP(analysis_calculated[[#This Row],[DATE]],Table1[DATE],Table1[Deposit facility - date of changes (raw data) - Level (FM.D.U2.EUR.4F.KR.DFR.LEV)],,-1)</f>
        <v>0.75</v>
      </c>
      <c r="H47" s="4">
        <f>analysis_calculated[[#This Row],[Corporate_Loan_Rate]]-analysis_calculated[[#This Row],[ECB_DFR]]</f>
        <v>2.2200000000000002</v>
      </c>
      <c r="I47" s="5">
        <f>IFERROR(analysis_calculated[[#This Row],[New_Loan_Volume]]/_xlfn.XLOOKUP(EOMONTH(analysis_calculated[[#This Row],[DATE]],-12),analysis_calculated[DATE],analysis_calculated[New_Loan_Volume])-1,"")</f>
        <v>0.23787682778627151</v>
      </c>
      <c r="J47" s="5">
        <f>IFERROR(analysis_calculated[[#This Row],[Loan_Stock]]/_xlfn.XLOOKUP(EOMONTH(analysis_calculated[[#This Row],[DATE]],-12),analysis_calculated[DATE],analysis_calculated[Loan_Stock])-1,"")</f>
        <v>0.12725837126293693</v>
      </c>
      <c r="K47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67008.666666666672</v>
      </c>
      <c r="L47" s="4">
        <f>_xlfn.IFNA(analysis_calculated[[#This Row],[ECB_DFR]]-_xlfn.XLOOKUP(EOMONTH(analysis_calculated[[#This Row],[DATE]],-1),analysis_calculated[DATE],analysis_calculated[ECB_DFR]),"")</f>
        <v>0</v>
      </c>
      <c r="M47" s="4" t="str">
        <f>IF(analysis_calculated[[#This Row],[ECB_DFR]]&lt;0,"Negative Rate",IF(analysis_calculated[[#This Row],[ECB_DFR]]=0,"Zero Rate","Positive Rate"))</f>
        <v>Positive Rate</v>
      </c>
    </row>
    <row r="48" spans="1:13" x14ac:dyDescent="0.35">
      <c r="A48" s="1">
        <v>44895</v>
      </c>
      <c r="B48" t="s">
        <v>52</v>
      </c>
      <c r="C48">
        <f>YEAR(analysis_calculated[[#This Row],[DATE]])</f>
        <v>2022</v>
      </c>
      <c r="D48" s="4">
        <v>3.14</v>
      </c>
      <c r="E48" s="4">
        <v>56210</v>
      </c>
      <c r="F48" s="4">
        <v>1357605</v>
      </c>
      <c r="G48" s="4">
        <f>_xlfn.XLOOKUP(analysis_calculated[[#This Row],[DATE]],Table1[DATE],Table1[Deposit facility - date of changes (raw data) - Level (FM.D.U2.EUR.4F.KR.DFR.LEV)],,-1)</f>
        <v>1.5</v>
      </c>
      <c r="H48" s="4">
        <f>analysis_calculated[[#This Row],[Corporate_Loan_Rate]]-analysis_calculated[[#This Row],[ECB_DFR]]</f>
        <v>1.6400000000000001</v>
      </c>
      <c r="I48" s="5">
        <f>IFERROR(analysis_calculated[[#This Row],[New_Loan_Volume]]/_xlfn.XLOOKUP(EOMONTH(analysis_calculated[[#This Row],[DATE]],-12),analysis_calculated[DATE],analysis_calculated[New_Loan_Volume])-1,"")</f>
        <v>-5.7486512779694188E-3</v>
      </c>
      <c r="J48" s="5">
        <f>IFERROR(analysis_calculated[[#This Row],[Loan_Stock]]/_xlfn.XLOOKUP(EOMONTH(analysis_calculated[[#This Row],[DATE]],-12),analysis_calculated[DATE],analysis_calculated[Loan_Stock])-1,"")</f>
        <v>0.12248576434334901</v>
      </c>
      <c r="K48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63414.333333333336</v>
      </c>
      <c r="L48" s="4">
        <f>_xlfn.IFNA(analysis_calculated[[#This Row],[ECB_DFR]]-_xlfn.XLOOKUP(EOMONTH(analysis_calculated[[#This Row],[DATE]],-1),analysis_calculated[DATE],analysis_calculated[ECB_DFR]),"")</f>
        <v>0.75</v>
      </c>
      <c r="M48" s="4" t="str">
        <f>IF(analysis_calculated[[#This Row],[ECB_DFR]]&lt;0,"Negative Rate",IF(analysis_calculated[[#This Row],[ECB_DFR]]=0,"Zero Rate","Positive Rate"))</f>
        <v>Positive Rate</v>
      </c>
    </row>
    <row r="49" spans="1:13" x14ac:dyDescent="0.35">
      <c r="A49" s="1">
        <v>44926</v>
      </c>
      <c r="B49" t="s">
        <v>53</v>
      </c>
      <c r="C49">
        <f>YEAR(analysis_calculated[[#This Row],[DATE]])</f>
        <v>2022</v>
      </c>
      <c r="D49" s="4">
        <v>3.46</v>
      </c>
      <c r="E49" s="4">
        <v>74461</v>
      </c>
      <c r="F49" s="4">
        <v>1333221</v>
      </c>
      <c r="G49" s="4">
        <f>_xlfn.XLOOKUP(analysis_calculated[[#This Row],[DATE]],Table1[DATE],Table1[Deposit facility - date of changes (raw data) - Level (FM.D.U2.EUR.4F.KR.DFR.LEV)],,-1)</f>
        <v>2</v>
      </c>
      <c r="H49" s="4">
        <f>analysis_calculated[[#This Row],[Corporate_Loan_Rate]]-analysis_calculated[[#This Row],[ECB_DFR]]</f>
        <v>1.46</v>
      </c>
      <c r="I49" s="5">
        <f>IFERROR(analysis_calculated[[#This Row],[New_Loan_Volume]]/_xlfn.XLOOKUP(EOMONTH(analysis_calculated[[#This Row],[DATE]],-12),analysis_calculated[DATE],analysis_calculated[New_Loan_Volume])-1,"")</f>
        <v>-1.9643727041723125E-2</v>
      </c>
      <c r="J49" s="5">
        <f>IFERROR(analysis_calculated[[#This Row],[Loan_Stock]]/_xlfn.XLOOKUP(EOMONTH(analysis_calculated[[#This Row],[DATE]],-12),analysis_calculated[DATE],analysis_calculated[Loan_Stock])-1,"")</f>
        <v>9.6556659058663952E-2</v>
      </c>
      <c r="K49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64608.333333333336</v>
      </c>
      <c r="L49" s="4">
        <f>_xlfn.IFNA(analysis_calculated[[#This Row],[ECB_DFR]]-_xlfn.XLOOKUP(EOMONTH(analysis_calculated[[#This Row],[DATE]],-1),analysis_calculated[DATE],analysis_calculated[ECB_DFR]),"")</f>
        <v>0.5</v>
      </c>
      <c r="M49" s="4" t="str">
        <f>IF(analysis_calculated[[#This Row],[ECB_DFR]]&lt;0,"Negative Rate",IF(analysis_calculated[[#This Row],[ECB_DFR]]=0,"Zero Rate","Positive Rate"))</f>
        <v>Positive Rate</v>
      </c>
    </row>
    <row r="50" spans="1:13" x14ac:dyDescent="0.35">
      <c r="A50" s="1">
        <v>44957</v>
      </c>
      <c r="B50" t="s">
        <v>54</v>
      </c>
      <c r="C50">
        <f>YEAR(analysis_calculated[[#This Row],[DATE]])</f>
        <v>2023</v>
      </c>
      <c r="D50" s="4">
        <v>3.56</v>
      </c>
      <c r="E50" s="4">
        <v>58268</v>
      </c>
      <c r="F50" s="4">
        <v>1344747</v>
      </c>
      <c r="G50" s="4">
        <f>_xlfn.XLOOKUP(analysis_calculated[[#This Row],[DATE]],Table1[DATE],Table1[Deposit facility - date of changes (raw data) - Level (FM.D.U2.EUR.4F.KR.DFR.LEV)],,-1)</f>
        <v>2</v>
      </c>
      <c r="H50" s="4">
        <f>analysis_calculated[[#This Row],[Corporate_Loan_Rate]]-analysis_calculated[[#This Row],[ECB_DFR]]</f>
        <v>1.56</v>
      </c>
      <c r="I50" s="5">
        <f>IFERROR(analysis_calculated[[#This Row],[New_Loan_Volume]]/_xlfn.XLOOKUP(EOMONTH(analysis_calculated[[#This Row],[DATE]],-12),analysis_calculated[DATE],analysis_calculated[New_Loan_Volume])-1,"")</f>
        <v>0.33083616928945014</v>
      </c>
      <c r="J50" s="5">
        <f>IFERROR(analysis_calculated[[#This Row],[Loan_Stock]]/_xlfn.XLOOKUP(EOMONTH(analysis_calculated[[#This Row],[DATE]],-12),analysis_calculated[DATE],analysis_calculated[Loan_Stock])-1,"")</f>
        <v>9.8742867040990445E-2</v>
      </c>
      <c r="K50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62979.666666666664</v>
      </c>
      <c r="L50" s="4">
        <f>_xlfn.IFNA(analysis_calculated[[#This Row],[ECB_DFR]]-_xlfn.XLOOKUP(EOMONTH(analysis_calculated[[#This Row],[DATE]],-1),analysis_calculated[DATE],analysis_calculated[ECB_DFR]),"")</f>
        <v>0</v>
      </c>
      <c r="M50" s="4" t="str">
        <f>IF(analysis_calculated[[#This Row],[ECB_DFR]]&lt;0,"Negative Rate",IF(analysis_calculated[[#This Row],[ECB_DFR]]=0,"Zero Rate","Positive Rate"))</f>
        <v>Positive Rate</v>
      </c>
    </row>
    <row r="51" spans="1:13" x14ac:dyDescent="0.35">
      <c r="A51" s="1">
        <v>44985</v>
      </c>
      <c r="B51" t="s">
        <v>55</v>
      </c>
      <c r="C51">
        <f>YEAR(analysis_calculated[[#This Row],[DATE]])</f>
        <v>2023</v>
      </c>
      <c r="D51" s="4">
        <v>3.89</v>
      </c>
      <c r="E51" s="4">
        <v>65700</v>
      </c>
      <c r="F51" s="4">
        <v>1347799</v>
      </c>
      <c r="G51" s="4">
        <f>_xlfn.XLOOKUP(analysis_calculated[[#This Row],[DATE]],Table1[DATE],Table1[Deposit facility - date of changes (raw data) - Level (FM.D.U2.EUR.4F.KR.DFR.LEV)],,-1)</f>
        <v>2.5</v>
      </c>
      <c r="H51" s="4">
        <f>analysis_calculated[[#This Row],[Corporate_Loan_Rate]]-analysis_calculated[[#This Row],[ECB_DFR]]</f>
        <v>1.3900000000000001</v>
      </c>
      <c r="I51" s="5">
        <f>IFERROR(analysis_calculated[[#This Row],[New_Loan_Volume]]/_xlfn.XLOOKUP(EOMONTH(analysis_calculated[[#This Row],[DATE]],-12),analysis_calculated[DATE],analysis_calculated[New_Loan_Volume])-1,"")</f>
        <v>0.36909227306826708</v>
      </c>
      <c r="J51" s="5">
        <f>IFERROR(analysis_calculated[[#This Row],[Loan_Stock]]/_xlfn.XLOOKUP(EOMONTH(analysis_calculated[[#This Row],[DATE]],-12),analysis_calculated[DATE],analysis_calculated[Loan_Stock])-1,"")</f>
        <v>9.096508957689653E-2</v>
      </c>
      <c r="K51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66143</v>
      </c>
      <c r="L51" s="4">
        <f>_xlfn.IFNA(analysis_calculated[[#This Row],[ECB_DFR]]-_xlfn.XLOOKUP(EOMONTH(analysis_calculated[[#This Row],[DATE]],-1),analysis_calculated[DATE],analysis_calculated[ECB_DFR]),"")</f>
        <v>0.5</v>
      </c>
      <c r="M51" s="4" t="str">
        <f>IF(analysis_calculated[[#This Row],[ECB_DFR]]&lt;0,"Negative Rate",IF(analysis_calculated[[#This Row],[ECB_DFR]]=0,"Zero Rate","Positive Rate"))</f>
        <v>Positive Rate</v>
      </c>
    </row>
    <row r="52" spans="1:13" x14ac:dyDescent="0.35">
      <c r="A52" s="1">
        <v>45016</v>
      </c>
      <c r="B52" t="s">
        <v>56</v>
      </c>
      <c r="C52">
        <f>YEAR(analysis_calculated[[#This Row],[DATE]])</f>
        <v>2023</v>
      </c>
      <c r="D52" s="4">
        <v>4.43</v>
      </c>
      <c r="E52" s="4">
        <v>72597</v>
      </c>
      <c r="F52" s="4">
        <v>1343250</v>
      </c>
      <c r="G52" s="4">
        <f>_xlfn.XLOOKUP(analysis_calculated[[#This Row],[DATE]],Table1[DATE],Table1[Deposit facility - date of changes (raw data) - Level (FM.D.U2.EUR.4F.KR.DFR.LEV)],,-1)</f>
        <v>3</v>
      </c>
      <c r="H52" s="4">
        <f>analysis_calculated[[#This Row],[Corporate_Loan_Rate]]-analysis_calculated[[#This Row],[ECB_DFR]]</f>
        <v>1.4299999999999997</v>
      </c>
      <c r="I52" s="5">
        <f>IFERROR(analysis_calculated[[#This Row],[New_Loan_Volume]]/_xlfn.XLOOKUP(EOMONTH(analysis_calculated[[#This Row],[DATE]],-12),analysis_calculated[DATE],analysis_calculated[New_Loan_Volume])-1,"")</f>
        <v>2.7107709285380865E-2</v>
      </c>
      <c r="J52" s="5">
        <f>IFERROR(analysis_calculated[[#This Row],[Loan_Stock]]/_xlfn.XLOOKUP(EOMONTH(analysis_calculated[[#This Row],[DATE]],-12),analysis_calculated[DATE],analysis_calculated[Loan_Stock])-1,"")</f>
        <v>7.8833342034142051E-2</v>
      </c>
      <c r="K52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65521.666666666664</v>
      </c>
      <c r="L52" s="4">
        <f>_xlfn.IFNA(analysis_calculated[[#This Row],[ECB_DFR]]-_xlfn.XLOOKUP(EOMONTH(analysis_calculated[[#This Row],[DATE]],-1),analysis_calculated[DATE],analysis_calculated[ECB_DFR]),"")</f>
        <v>0.5</v>
      </c>
      <c r="M52" s="4" t="str">
        <f>IF(analysis_calculated[[#This Row],[ECB_DFR]]&lt;0,"Negative Rate",IF(analysis_calculated[[#This Row],[ECB_DFR]]=0,"Zero Rate","Positive Rate"))</f>
        <v>Positive Rate</v>
      </c>
    </row>
    <row r="53" spans="1:13" x14ac:dyDescent="0.35">
      <c r="A53" s="1">
        <v>45046</v>
      </c>
      <c r="B53" t="s">
        <v>57</v>
      </c>
      <c r="C53">
        <f>YEAR(analysis_calculated[[#This Row],[DATE]])</f>
        <v>2023</v>
      </c>
      <c r="D53" s="4">
        <v>4.4400000000000004</v>
      </c>
      <c r="E53" s="4">
        <v>50533</v>
      </c>
      <c r="F53" s="4">
        <v>1348573</v>
      </c>
      <c r="G53" s="4">
        <f>_xlfn.XLOOKUP(analysis_calculated[[#This Row],[DATE]],Table1[DATE],Table1[Deposit facility - date of changes (raw data) - Level (FM.D.U2.EUR.4F.KR.DFR.LEV)],,-1)</f>
        <v>3</v>
      </c>
      <c r="H53" s="4">
        <f>analysis_calculated[[#This Row],[Corporate_Loan_Rate]]-analysis_calculated[[#This Row],[ECB_DFR]]</f>
        <v>1.4400000000000004</v>
      </c>
      <c r="I53" s="5">
        <f>IFERROR(analysis_calculated[[#This Row],[New_Loan_Volume]]/_xlfn.XLOOKUP(EOMONTH(analysis_calculated[[#This Row],[DATE]],-12),analysis_calculated[DATE],analysis_calculated[New_Loan_Volume])-1,"")</f>
        <v>-7.6381780962128998E-2</v>
      </c>
      <c r="J53" s="5">
        <f>IFERROR(analysis_calculated[[#This Row],[Loan_Stock]]/_xlfn.XLOOKUP(EOMONTH(analysis_calculated[[#This Row],[DATE]],-12),analysis_calculated[DATE],analysis_calculated[Loan_Stock])-1,"")</f>
        <v>7.4609822605347542E-2</v>
      </c>
      <c r="K53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62943.333333333336</v>
      </c>
      <c r="L53" s="4">
        <f>_xlfn.IFNA(analysis_calculated[[#This Row],[ECB_DFR]]-_xlfn.XLOOKUP(EOMONTH(analysis_calculated[[#This Row],[DATE]],-1),analysis_calculated[DATE],analysis_calculated[ECB_DFR]),"")</f>
        <v>0</v>
      </c>
      <c r="M53" s="4" t="str">
        <f>IF(analysis_calculated[[#This Row],[ECB_DFR]]&lt;0,"Negative Rate",IF(analysis_calculated[[#This Row],[ECB_DFR]]=0,"Zero Rate","Positive Rate"))</f>
        <v>Positive Rate</v>
      </c>
    </row>
    <row r="54" spans="1:13" x14ac:dyDescent="0.35">
      <c r="A54" s="1">
        <v>45077</v>
      </c>
      <c r="B54" t="s">
        <v>58</v>
      </c>
      <c r="C54">
        <f>YEAR(analysis_calculated[[#This Row],[DATE]])</f>
        <v>2023</v>
      </c>
      <c r="D54" s="4">
        <v>4.66</v>
      </c>
      <c r="E54" s="4">
        <v>58226</v>
      </c>
      <c r="F54" s="4">
        <v>1360814</v>
      </c>
      <c r="G54" s="4">
        <f>_xlfn.XLOOKUP(analysis_calculated[[#This Row],[DATE]],Table1[DATE],Table1[Deposit facility - date of changes (raw data) - Level (FM.D.U2.EUR.4F.KR.DFR.LEV)],,-1)</f>
        <v>3.25</v>
      </c>
      <c r="H54" s="4">
        <f>analysis_calculated[[#This Row],[Corporate_Loan_Rate]]-analysis_calculated[[#This Row],[ECB_DFR]]</f>
        <v>1.4100000000000001</v>
      </c>
      <c r="I54" s="5">
        <f>IFERROR(analysis_calculated[[#This Row],[New_Loan_Volume]]/_xlfn.XLOOKUP(EOMONTH(analysis_calculated[[#This Row],[DATE]],-12),analysis_calculated[DATE],analysis_calculated[New_Loan_Volume])-1,"")</f>
        <v>-2.370892018779347E-2</v>
      </c>
      <c r="J54" s="5">
        <f>IFERROR(analysis_calculated[[#This Row],[Loan_Stock]]/_xlfn.XLOOKUP(EOMONTH(analysis_calculated[[#This Row],[DATE]],-12),analysis_calculated[DATE],analysis_calculated[Loan_Stock])-1,"")</f>
        <v>7.4835691949951988E-2</v>
      </c>
      <c r="K54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60452</v>
      </c>
      <c r="L54" s="4">
        <f>_xlfn.IFNA(analysis_calculated[[#This Row],[ECB_DFR]]-_xlfn.XLOOKUP(EOMONTH(analysis_calculated[[#This Row],[DATE]],-1),analysis_calculated[DATE],analysis_calculated[ECB_DFR]),"")</f>
        <v>0.25</v>
      </c>
      <c r="M54" s="4" t="str">
        <f>IF(analysis_calculated[[#This Row],[ECB_DFR]]&lt;0,"Negative Rate",IF(analysis_calculated[[#This Row],[ECB_DFR]]=0,"Zero Rate","Positive Rate"))</f>
        <v>Positive Rate</v>
      </c>
    </row>
    <row r="55" spans="1:13" x14ac:dyDescent="0.35">
      <c r="A55" s="1">
        <v>45107</v>
      </c>
      <c r="B55" t="s">
        <v>59</v>
      </c>
      <c r="C55">
        <f>YEAR(analysis_calculated[[#This Row],[DATE]])</f>
        <v>2023</v>
      </c>
      <c r="D55" s="4">
        <v>4.87</v>
      </c>
      <c r="E55" s="4">
        <v>67654</v>
      </c>
      <c r="F55" s="4">
        <v>1355906</v>
      </c>
      <c r="G55" s="4">
        <f>_xlfn.XLOOKUP(analysis_calculated[[#This Row],[DATE]],Table1[DATE],Table1[Deposit facility - date of changes (raw data) - Level (FM.D.U2.EUR.4F.KR.DFR.LEV)],,-1)</f>
        <v>3.5</v>
      </c>
      <c r="H55" s="4">
        <f>analysis_calculated[[#This Row],[Corporate_Loan_Rate]]-analysis_calculated[[#This Row],[ECB_DFR]]</f>
        <v>1.37</v>
      </c>
      <c r="I55" s="5">
        <f>IFERROR(analysis_calculated[[#This Row],[New_Loan_Volume]]/_xlfn.XLOOKUP(EOMONTH(analysis_calculated[[#This Row],[DATE]],-12),analysis_calculated[DATE],analysis_calculated[New_Loan_Volume])-1,"")</f>
        <v>-0.28666624491259152</v>
      </c>
      <c r="J55" s="5">
        <f>IFERROR(analysis_calculated[[#This Row],[Loan_Stock]]/_xlfn.XLOOKUP(EOMONTH(analysis_calculated[[#This Row],[DATE]],-12),analysis_calculated[DATE],analysis_calculated[Loan_Stock])-1,"")</f>
        <v>5.8964017719352002E-2</v>
      </c>
      <c r="K55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58804.333333333336</v>
      </c>
      <c r="L55" s="4">
        <f>_xlfn.IFNA(analysis_calculated[[#This Row],[ECB_DFR]]-_xlfn.XLOOKUP(EOMONTH(analysis_calculated[[#This Row],[DATE]],-1),analysis_calculated[DATE],analysis_calculated[ECB_DFR]),"")</f>
        <v>0.25</v>
      </c>
      <c r="M55" s="4" t="str">
        <f>IF(analysis_calculated[[#This Row],[ECB_DFR]]&lt;0,"Negative Rate",IF(analysis_calculated[[#This Row],[ECB_DFR]]=0,"Zero Rate","Positive Rate"))</f>
        <v>Positive Rate</v>
      </c>
    </row>
    <row r="56" spans="1:13" x14ac:dyDescent="0.35">
      <c r="A56" s="1">
        <v>45138</v>
      </c>
      <c r="B56" t="s">
        <v>60</v>
      </c>
      <c r="C56">
        <f>YEAR(analysis_calculated[[#This Row],[DATE]])</f>
        <v>2023</v>
      </c>
      <c r="D56" s="4">
        <v>5.15</v>
      </c>
      <c r="E56" s="4">
        <v>57453</v>
      </c>
      <c r="F56" s="4">
        <v>1360956</v>
      </c>
      <c r="G56" s="4">
        <f>_xlfn.XLOOKUP(analysis_calculated[[#This Row],[DATE]],Table1[DATE],Table1[Deposit facility - date of changes (raw data) - Level (FM.D.U2.EUR.4F.KR.DFR.LEV)],,-1)</f>
        <v>3.5</v>
      </c>
      <c r="H56" s="4">
        <f>analysis_calculated[[#This Row],[Corporate_Loan_Rate]]-analysis_calculated[[#This Row],[ECB_DFR]]</f>
        <v>1.6500000000000004</v>
      </c>
      <c r="I56" s="5">
        <f>IFERROR(analysis_calculated[[#This Row],[New_Loan_Volume]]/_xlfn.XLOOKUP(EOMONTH(analysis_calculated[[#This Row],[DATE]],-12),analysis_calculated[DATE],analysis_calculated[New_Loan_Volume])-1,"")</f>
        <v>-1.3851699279093688E-2</v>
      </c>
      <c r="J56" s="5">
        <f>IFERROR(analysis_calculated[[#This Row],[Loan_Stock]]/_xlfn.XLOOKUP(EOMONTH(analysis_calculated[[#This Row],[DATE]],-12),analysis_calculated[DATE],analysis_calculated[Loan_Stock])-1,"")</f>
        <v>4.8596830376852251E-2</v>
      </c>
      <c r="K56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61111</v>
      </c>
      <c r="L56" s="4">
        <f>_xlfn.IFNA(analysis_calculated[[#This Row],[ECB_DFR]]-_xlfn.XLOOKUP(EOMONTH(analysis_calculated[[#This Row],[DATE]],-1),analysis_calculated[DATE],analysis_calculated[ECB_DFR]),"")</f>
        <v>0</v>
      </c>
      <c r="M56" s="4" t="str">
        <f>IF(analysis_calculated[[#This Row],[ECB_DFR]]&lt;0,"Negative Rate",IF(analysis_calculated[[#This Row],[ECB_DFR]]=0,"Zero Rate","Positive Rate"))</f>
        <v>Positive Rate</v>
      </c>
    </row>
    <row r="57" spans="1:13" x14ac:dyDescent="0.35">
      <c r="A57" s="1">
        <v>45169</v>
      </c>
      <c r="B57" t="s">
        <v>61</v>
      </c>
      <c r="C57">
        <f>YEAR(analysis_calculated[[#This Row],[DATE]])</f>
        <v>2023</v>
      </c>
      <c r="D57" s="4">
        <v>5.09</v>
      </c>
      <c r="E57" s="4">
        <v>51977</v>
      </c>
      <c r="F57" s="4">
        <v>1356111</v>
      </c>
      <c r="G57" s="4">
        <f>_xlfn.XLOOKUP(analysis_calculated[[#This Row],[DATE]],Table1[DATE],Table1[Deposit facility - date of changes (raw data) - Level (FM.D.U2.EUR.4F.KR.DFR.LEV)],,-1)</f>
        <v>3.75</v>
      </c>
      <c r="H57" s="4">
        <f>analysis_calculated[[#This Row],[Corporate_Loan_Rate]]-analysis_calculated[[#This Row],[ECB_DFR]]</f>
        <v>1.3399999999999999</v>
      </c>
      <c r="I57" s="5">
        <f>IFERROR(analysis_calculated[[#This Row],[New_Loan_Volume]]/_xlfn.XLOOKUP(EOMONTH(analysis_calculated[[#This Row],[DATE]],-12),analysis_calculated[DATE],analysis_calculated[New_Loan_Volume])-1,"")</f>
        <v>-0.22414282089173498</v>
      </c>
      <c r="J57" s="5">
        <f>IFERROR(analysis_calculated[[#This Row],[Loan_Stock]]/_xlfn.XLOOKUP(EOMONTH(analysis_calculated[[#This Row],[DATE]],-12),analysis_calculated[DATE],analysis_calculated[Loan_Stock])-1,"")</f>
        <v>2.1516375691406742E-2</v>
      </c>
      <c r="K57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59028</v>
      </c>
      <c r="L57" s="4">
        <f>_xlfn.IFNA(analysis_calculated[[#This Row],[ECB_DFR]]-_xlfn.XLOOKUP(EOMONTH(analysis_calculated[[#This Row],[DATE]],-1),analysis_calculated[DATE],analysis_calculated[ECB_DFR]),"")</f>
        <v>0.25</v>
      </c>
      <c r="M57" s="4" t="str">
        <f>IF(analysis_calculated[[#This Row],[ECB_DFR]]&lt;0,"Negative Rate",IF(analysis_calculated[[#This Row],[ECB_DFR]]=0,"Zero Rate","Positive Rate"))</f>
        <v>Positive Rate</v>
      </c>
    </row>
    <row r="58" spans="1:13" x14ac:dyDescent="0.35">
      <c r="A58" s="1">
        <v>45199</v>
      </c>
      <c r="B58" t="s">
        <v>62</v>
      </c>
      <c r="C58">
        <f>YEAR(analysis_calculated[[#This Row],[DATE]])</f>
        <v>2023</v>
      </c>
      <c r="D58" s="4">
        <v>5.09</v>
      </c>
      <c r="E58" s="4">
        <v>57615</v>
      </c>
      <c r="F58" s="4">
        <v>1352377</v>
      </c>
      <c r="G58" s="4">
        <f>_xlfn.XLOOKUP(analysis_calculated[[#This Row],[DATE]],Table1[DATE],Table1[Deposit facility - date of changes (raw data) - Level (FM.D.U2.EUR.4F.KR.DFR.LEV)],,-1)</f>
        <v>4</v>
      </c>
      <c r="H58" s="4">
        <f>analysis_calculated[[#This Row],[Corporate_Loan_Rate]]-analysis_calculated[[#This Row],[ECB_DFR]]</f>
        <v>1.0899999999999999</v>
      </c>
      <c r="I58" s="5">
        <f>IFERROR(analysis_calculated[[#This Row],[New_Loan_Volume]]/_xlfn.XLOOKUP(EOMONTH(analysis_calculated[[#This Row],[DATE]],-12),analysis_calculated[DATE],analysis_calculated[New_Loan_Volume])-1,"")</f>
        <v>-0.18713582302233389</v>
      </c>
      <c r="J58" s="5">
        <f>IFERROR(analysis_calculated[[#This Row],[Loan_Stock]]/_xlfn.XLOOKUP(EOMONTH(analysis_calculated[[#This Row],[DATE]],-12),analysis_calculated[DATE],analysis_calculated[Loan_Stock])-1,"")</f>
        <v>1.082295572828107E-2</v>
      </c>
      <c r="K58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55681.666666666664</v>
      </c>
      <c r="L58" s="4">
        <f>_xlfn.IFNA(analysis_calculated[[#This Row],[ECB_DFR]]-_xlfn.XLOOKUP(EOMONTH(analysis_calculated[[#This Row],[DATE]],-1),analysis_calculated[DATE],analysis_calculated[ECB_DFR]),"")</f>
        <v>0.25</v>
      </c>
      <c r="M58" s="4" t="str">
        <f>IF(analysis_calculated[[#This Row],[ECB_DFR]]&lt;0,"Negative Rate",IF(analysis_calculated[[#This Row],[ECB_DFR]]=0,"Zero Rate","Positive Rate"))</f>
        <v>Positive Rate</v>
      </c>
    </row>
    <row r="59" spans="1:13" x14ac:dyDescent="0.35">
      <c r="A59" s="1">
        <v>45230</v>
      </c>
      <c r="B59" t="s">
        <v>63</v>
      </c>
      <c r="C59">
        <f>YEAR(analysis_calculated[[#This Row],[DATE]])</f>
        <v>2023</v>
      </c>
      <c r="D59" s="4">
        <v>5.45</v>
      </c>
      <c r="E59" s="4">
        <v>51984</v>
      </c>
      <c r="F59" s="4">
        <v>1354882</v>
      </c>
      <c r="G59" s="4">
        <f>_xlfn.XLOOKUP(analysis_calculated[[#This Row],[DATE]],Table1[DATE],Table1[Deposit facility - date of changes (raw data) - Level (FM.D.U2.EUR.4F.KR.DFR.LEV)],,-1)</f>
        <v>4</v>
      </c>
      <c r="H59" s="4">
        <f>analysis_calculated[[#This Row],[Corporate_Loan_Rate]]-analysis_calculated[[#This Row],[ECB_DFR]]</f>
        <v>1.4500000000000002</v>
      </c>
      <c r="I59" s="5">
        <f>IFERROR(analysis_calculated[[#This Row],[New_Loan_Volume]]/_xlfn.XLOOKUP(EOMONTH(analysis_calculated[[#This Row],[DATE]],-12),analysis_calculated[DATE],analysis_calculated[New_Loan_Volume])-1,"")</f>
        <v>-0.17686924026981665</v>
      </c>
      <c r="J59" s="5">
        <f>IFERROR(analysis_calculated[[#This Row],[Loan_Stock]]/_xlfn.XLOOKUP(EOMONTH(analysis_calculated[[#This Row],[DATE]],-12),analysis_calculated[DATE],analysis_calculated[Loan_Stock])-1,"")</f>
        <v>2.1309155836424232E-3</v>
      </c>
      <c r="K59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53858.666666666664</v>
      </c>
      <c r="L59" s="4">
        <f>_xlfn.IFNA(analysis_calculated[[#This Row],[ECB_DFR]]-_xlfn.XLOOKUP(EOMONTH(analysis_calculated[[#This Row],[DATE]],-1),analysis_calculated[DATE],analysis_calculated[ECB_DFR]),"")</f>
        <v>0</v>
      </c>
      <c r="M59" s="4" t="str">
        <f>IF(analysis_calculated[[#This Row],[ECB_DFR]]&lt;0,"Negative Rate",IF(analysis_calculated[[#This Row],[ECB_DFR]]=0,"Zero Rate","Positive Rate"))</f>
        <v>Positive Rate</v>
      </c>
    </row>
    <row r="60" spans="1:13" x14ac:dyDescent="0.35">
      <c r="A60" s="1">
        <v>45260</v>
      </c>
      <c r="B60" t="s">
        <v>64</v>
      </c>
      <c r="C60">
        <f>YEAR(analysis_calculated[[#This Row],[DATE]])</f>
        <v>2023</v>
      </c>
      <c r="D60" s="4">
        <v>5.13</v>
      </c>
      <c r="E60" s="4">
        <v>56849</v>
      </c>
      <c r="F60" s="4">
        <v>1360736</v>
      </c>
      <c r="G60" s="4">
        <f>_xlfn.XLOOKUP(analysis_calculated[[#This Row],[DATE]],Table1[DATE],Table1[Deposit facility - date of changes (raw data) - Level (FM.D.U2.EUR.4F.KR.DFR.LEV)],,-1)</f>
        <v>4</v>
      </c>
      <c r="H60" s="4">
        <f>analysis_calculated[[#This Row],[Corporate_Loan_Rate]]-analysis_calculated[[#This Row],[ECB_DFR]]</f>
        <v>1.1299999999999999</v>
      </c>
      <c r="I60" s="5">
        <f>IFERROR(analysis_calculated[[#This Row],[New_Loan_Volume]]/_xlfn.XLOOKUP(EOMONTH(analysis_calculated[[#This Row],[DATE]],-12),analysis_calculated[DATE],analysis_calculated[New_Loan_Volume])-1,"")</f>
        <v>1.1368083970823673E-2</v>
      </c>
      <c r="J60" s="5">
        <f>IFERROR(analysis_calculated[[#This Row],[Loan_Stock]]/_xlfn.XLOOKUP(EOMONTH(analysis_calculated[[#This Row],[DATE]],-12),analysis_calculated[DATE],analysis_calculated[Loan_Stock])-1,"")</f>
        <v>2.306267286876551E-3</v>
      </c>
      <c r="K60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55482.666666666664</v>
      </c>
      <c r="L60" s="4">
        <f>_xlfn.IFNA(analysis_calculated[[#This Row],[ECB_DFR]]-_xlfn.XLOOKUP(EOMONTH(analysis_calculated[[#This Row],[DATE]],-1),analysis_calculated[DATE],analysis_calculated[ECB_DFR]),"")</f>
        <v>0</v>
      </c>
      <c r="M60" s="4" t="str">
        <f>IF(analysis_calculated[[#This Row],[ECB_DFR]]&lt;0,"Negative Rate",IF(analysis_calculated[[#This Row],[ECB_DFR]]=0,"Zero Rate","Positive Rate"))</f>
        <v>Positive Rate</v>
      </c>
    </row>
    <row r="61" spans="1:13" x14ac:dyDescent="0.35">
      <c r="A61" s="1">
        <v>45291</v>
      </c>
      <c r="B61" t="s">
        <v>65</v>
      </c>
      <c r="C61">
        <f>YEAR(analysis_calculated[[#This Row],[DATE]])</f>
        <v>2023</v>
      </c>
      <c r="D61" s="4">
        <v>5.13</v>
      </c>
      <c r="E61" s="4">
        <v>76896</v>
      </c>
      <c r="F61" s="4">
        <v>1353613</v>
      </c>
      <c r="G61" s="4">
        <f>_xlfn.XLOOKUP(analysis_calculated[[#This Row],[DATE]],Table1[DATE],Table1[Deposit facility - date of changes (raw data) - Level (FM.D.U2.EUR.4F.KR.DFR.LEV)],,-1)</f>
        <v>4</v>
      </c>
      <c r="H61" s="4">
        <f>analysis_calculated[[#This Row],[Corporate_Loan_Rate]]-analysis_calculated[[#This Row],[ECB_DFR]]</f>
        <v>1.1299999999999999</v>
      </c>
      <c r="I61" s="5">
        <f>IFERROR(analysis_calculated[[#This Row],[New_Loan_Volume]]/_xlfn.XLOOKUP(EOMONTH(analysis_calculated[[#This Row],[DATE]],-12),analysis_calculated[DATE],analysis_calculated[New_Loan_Volume])-1,"")</f>
        <v>3.2701682760102546E-2</v>
      </c>
      <c r="J61" s="5">
        <f>IFERROR(analysis_calculated[[#This Row],[Loan_Stock]]/_xlfn.XLOOKUP(EOMONTH(analysis_calculated[[#This Row],[DATE]],-12),analysis_calculated[DATE],analysis_calculated[Loan_Stock])-1,"")</f>
        <v>1.5295288628066839E-2</v>
      </c>
      <c r="K61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61909.666666666664</v>
      </c>
      <c r="L61" s="4">
        <f>_xlfn.IFNA(analysis_calculated[[#This Row],[ECB_DFR]]-_xlfn.XLOOKUP(EOMONTH(analysis_calculated[[#This Row],[DATE]],-1),analysis_calculated[DATE],analysis_calculated[ECB_DFR]),"")</f>
        <v>0</v>
      </c>
      <c r="M61" s="4" t="str">
        <f>IF(analysis_calculated[[#This Row],[ECB_DFR]]&lt;0,"Negative Rate",IF(analysis_calculated[[#This Row],[ECB_DFR]]=0,"Zero Rate","Positive Rate"))</f>
        <v>Positive Rate</v>
      </c>
    </row>
    <row r="62" spans="1:13" x14ac:dyDescent="0.35">
      <c r="A62" s="1">
        <v>45322</v>
      </c>
      <c r="B62" t="s">
        <v>66</v>
      </c>
      <c r="C62">
        <f>YEAR(analysis_calculated[[#This Row],[DATE]])</f>
        <v>2024</v>
      </c>
      <c r="D62" s="4">
        <v>5.07</v>
      </c>
      <c r="E62" s="4">
        <v>53264</v>
      </c>
      <c r="F62" s="4">
        <v>1356784</v>
      </c>
      <c r="G62" s="4">
        <f>_xlfn.XLOOKUP(analysis_calculated[[#This Row],[DATE]],Table1[DATE],Table1[Deposit facility - date of changes (raw data) - Level (FM.D.U2.EUR.4F.KR.DFR.LEV)],,-1)</f>
        <v>4</v>
      </c>
      <c r="H62" s="4">
        <f>analysis_calculated[[#This Row],[Corporate_Loan_Rate]]-analysis_calculated[[#This Row],[ECB_DFR]]</f>
        <v>1.0700000000000003</v>
      </c>
      <c r="I62" s="5">
        <f>IFERROR(analysis_calculated[[#This Row],[New_Loan_Volume]]/_xlfn.XLOOKUP(EOMONTH(analysis_calculated[[#This Row],[DATE]],-12),analysis_calculated[DATE],analysis_calculated[New_Loan_Volume])-1,"")</f>
        <v>-8.5879041669526979E-2</v>
      </c>
      <c r="J62" s="5">
        <f>IFERROR(analysis_calculated[[#This Row],[Loan_Stock]]/_xlfn.XLOOKUP(EOMONTH(analysis_calculated[[#This Row],[DATE]],-12),analysis_calculated[DATE],analysis_calculated[Loan_Stock])-1,"")</f>
        <v>8.9511261226089545E-3</v>
      </c>
      <c r="K62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62336.333333333336</v>
      </c>
      <c r="L62" s="4">
        <f>_xlfn.IFNA(analysis_calculated[[#This Row],[ECB_DFR]]-_xlfn.XLOOKUP(EOMONTH(analysis_calculated[[#This Row],[DATE]],-1),analysis_calculated[DATE],analysis_calculated[ECB_DFR]),"")</f>
        <v>0</v>
      </c>
      <c r="M62" s="4" t="str">
        <f>IF(analysis_calculated[[#This Row],[ECB_DFR]]&lt;0,"Negative Rate",IF(analysis_calculated[[#This Row],[ECB_DFR]]=0,"Zero Rate","Positive Rate"))</f>
        <v>Positive Rate</v>
      </c>
    </row>
    <row r="63" spans="1:13" x14ac:dyDescent="0.35">
      <c r="A63" s="1">
        <v>45351</v>
      </c>
      <c r="B63" t="s">
        <v>67</v>
      </c>
      <c r="C63">
        <f>YEAR(analysis_calculated[[#This Row],[DATE]])</f>
        <v>2024</v>
      </c>
      <c r="D63" s="4">
        <v>4.95</v>
      </c>
      <c r="E63" s="4">
        <v>53919</v>
      </c>
      <c r="F63" s="4">
        <v>1360658</v>
      </c>
      <c r="G63" s="4">
        <f>_xlfn.XLOOKUP(analysis_calculated[[#This Row],[DATE]],Table1[DATE],Table1[Deposit facility - date of changes (raw data) - Level (FM.D.U2.EUR.4F.KR.DFR.LEV)],,-1)</f>
        <v>4</v>
      </c>
      <c r="H63" s="4">
        <f>analysis_calculated[[#This Row],[Corporate_Loan_Rate]]-analysis_calculated[[#This Row],[ECB_DFR]]</f>
        <v>0.95000000000000018</v>
      </c>
      <c r="I63" s="5">
        <f>IFERROR(analysis_calculated[[#This Row],[New_Loan_Volume]]/_xlfn.XLOOKUP(EOMONTH(analysis_calculated[[#This Row],[DATE]],-12),analysis_calculated[DATE],analysis_calculated[New_Loan_Volume])-1,"")</f>
        <v>-0.17931506849315071</v>
      </c>
      <c r="J63" s="5">
        <f>IFERROR(analysis_calculated[[#This Row],[Loan_Stock]]/_xlfn.XLOOKUP(EOMONTH(analysis_calculated[[#This Row],[DATE]],-12),analysis_calculated[DATE],analysis_calculated[Loan_Stock])-1,"")</f>
        <v>9.5407401251967894E-3</v>
      </c>
      <c r="K63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61359.666666666664</v>
      </c>
      <c r="L63" s="4">
        <f>_xlfn.IFNA(analysis_calculated[[#This Row],[ECB_DFR]]-_xlfn.XLOOKUP(EOMONTH(analysis_calculated[[#This Row],[DATE]],-1),analysis_calculated[DATE],analysis_calculated[ECB_DFR]),"")</f>
        <v>0</v>
      </c>
      <c r="M63" s="4" t="str">
        <f>IF(analysis_calculated[[#This Row],[ECB_DFR]]&lt;0,"Negative Rate",IF(analysis_calculated[[#This Row],[ECB_DFR]]=0,"Zero Rate","Positive Rate"))</f>
        <v>Positive Rate</v>
      </c>
    </row>
    <row r="64" spans="1:13" x14ac:dyDescent="0.35">
      <c r="A64" s="1">
        <v>45382</v>
      </c>
      <c r="B64" t="s">
        <v>68</v>
      </c>
      <c r="C64">
        <f>YEAR(analysis_calculated[[#This Row],[DATE]])</f>
        <v>2024</v>
      </c>
      <c r="D64" s="4">
        <v>5.1100000000000003</v>
      </c>
      <c r="E64" s="4">
        <v>65775</v>
      </c>
      <c r="F64" s="4">
        <v>1361050</v>
      </c>
      <c r="G64" s="4">
        <f>_xlfn.XLOOKUP(analysis_calculated[[#This Row],[DATE]],Table1[DATE],Table1[Deposit facility - date of changes (raw data) - Level (FM.D.U2.EUR.4F.KR.DFR.LEV)],,-1)</f>
        <v>4</v>
      </c>
      <c r="H64" s="4">
        <f>analysis_calculated[[#This Row],[Corporate_Loan_Rate]]-analysis_calculated[[#This Row],[ECB_DFR]]</f>
        <v>1.1100000000000003</v>
      </c>
      <c r="I64" s="5">
        <f>IFERROR(analysis_calculated[[#This Row],[New_Loan_Volume]]/_xlfn.XLOOKUP(EOMONTH(analysis_calculated[[#This Row],[DATE]],-12),analysis_calculated[DATE],analysis_calculated[New_Loan_Volume])-1,"")</f>
        <v>-9.397082524071243E-2</v>
      </c>
      <c r="J64" s="5">
        <f>IFERROR(analysis_calculated[[#This Row],[Loan_Stock]]/_xlfn.XLOOKUP(EOMONTH(analysis_calculated[[#This Row],[DATE]],-12),analysis_calculated[DATE],analysis_calculated[Loan_Stock])-1,"")</f>
        <v>1.325144239717102E-2</v>
      </c>
      <c r="K64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57652.666666666664</v>
      </c>
      <c r="L64" s="4">
        <f>_xlfn.IFNA(analysis_calculated[[#This Row],[ECB_DFR]]-_xlfn.XLOOKUP(EOMONTH(analysis_calculated[[#This Row],[DATE]],-1),analysis_calculated[DATE],analysis_calculated[ECB_DFR]),"")</f>
        <v>0</v>
      </c>
      <c r="M64" s="4" t="str">
        <f>IF(analysis_calculated[[#This Row],[ECB_DFR]]&lt;0,"Negative Rate",IF(analysis_calculated[[#This Row],[ECB_DFR]]=0,"Zero Rate","Positive Rate"))</f>
        <v>Positive Rate</v>
      </c>
    </row>
    <row r="65" spans="1:13" x14ac:dyDescent="0.35">
      <c r="A65" s="1">
        <v>45412</v>
      </c>
      <c r="B65" t="s">
        <v>69</v>
      </c>
      <c r="C65">
        <f>YEAR(analysis_calculated[[#This Row],[DATE]])</f>
        <v>2024</v>
      </c>
      <c r="D65" s="4">
        <v>5.13</v>
      </c>
      <c r="E65" s="4">
        <v>56606</v>
      </c>
      <c r="F65" s="4">
        <v>1360516</v>
      </c>
      <c r="G65" s="4">
        <f>_xlfn.XLOOKUP(analysis_calculated[[#This Row],[DATE]],Table1[DATE],Table1[Deposit facility - date of changes (raw data) - Level (FM.D.U2.EUR.4F.KR.DFR.LEV)],,-1)</f>
        <v>4</v>
      </c>
      <c r="H65" s="4">
        <f>analysis_calculated[[#This Row],[Corporate_Loan_Rate]]-analysis_calculated[[#This Row],[ECB_DFR]]</f>
        <v>1.1299999999999999</v>
      </c>
      <c r="I65" s="5">
        <f>IFERROR(analysis_calculated[[#This Row],[New_Loan_Volume]]/_xlfn.XLOOKUP(EOMONTH(analysis_calculated[[#This Row],[DATE]],-12),analysis_calculated[DATE],analysis_calculated[New_Loan_Volume])-1,"")</f>
        <v>0.12017889300061335</v>
      </c>
      <c r="J65" s="5">
        <f>IFERROR(analysis_calculated[[#This Row],[Loan_Stock]]/_xlfn.XLOOKUP(EOMONTH(analysis_calculated[[#This Row],[DATE]],-12),analysis_calculated[DATE],analysis_calculated[Loan_Stock])-1,"")</f>
        <v>8.8560278160692008E-3</v>
      </c>
      <c r="K65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58766.666666666664</v>
      </c>
      <c r="L65" s="4">
        <f>_xlfn.IFNA(analysis_calculated[[#This Row],[ECB_DFR]]-_xlfn.XLOOKUP(EOMONTH(analysis_calculated[[#This Row],[DATE]],-1),analysis_calculated[DATE],analysis_calculated[ECB_DFR]),"")</f>
        <v>0</v>
      </c>
      <c r="M65" s="4" t="str">
        <f>IF(analysis_calculated[[#This Row],[ECB_DFR]]&lt;0,"Negative Rate",IF(analysis_calculated[[#This Row],[ECB_DFR]]=0,"Zero Rate","Positive Rate"))</f>
        <v>Positive Rate</v>
      </c>
    </row>
    <row r="66" spans="1:13" x14ac:dyDescent="0.35">
      <c r="A66" s="1">
        <v>45443</v>
      </c>
      <c r="B66" t="s">
        <v>70</v>
      </c>
      <c r="C66">
        <f>YEAR(analysis_calculated[[#This Row],[DATE]])</f>
        <v>2024</v>
      </c>
      <c r="D66" s="4">
        <v>5.04</v>
      </c>
      <c r="E66" s="4">
        <v>61576</v>
      </c>
      <c r="F66" s="4">
        <v>1362888</v>
      </c>
      <c r="G66" s="4">
        <f>_xlfn.XLOOKUP(analysis_calculated[[#This Row],[DATE]],Table1[DATE],Table1[Deposit facility - date of changes (raw data) - Level (FM.D.U2.EUR.4F.KR.DFR.LEV)],,-1)</f>
        <v>4</v>
      </c>
      <c r="H66" s="4">
        <f>analysis_calculated[[#This Row],[Corporate_Loan_Rate]]-analysis_calculated[[#This Row],[ECB_DFR]]</f>
        <v>1.04</v>
      </c>
      <c r="I66" s="5">
        <f>IFERROR(analysis_calculated[[#This Row],[New_Loan_Volume]]/_xlfn.XLOOKUP(EOMONTH(analysis_calculated[[#This Row],[DATE]],-12),analysis_calculated[DATE],analysis_calculated[New_Loan_Volume])-1,"")</f>
        <v>5.7534434788582445E-2</v>
      </c>
      <c r="J66" s="5">
        <f>IFERROR(analysis_calculated[[#This Row],[Loan_Stock]]/_xlfn.XLOOKUP(EOMONTH(analysis_calculated[[#This Row],[DATE]],-12),analysis_calculated[DATE],analysis_calculated[Loan_Stock])-1,"")</f>
        <v>1.5240877886324444E-3</v>
      </c>
      <c r="K66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61319</v>
      </c>
      <c r="L66" s="4">
        <f>_xlfn.IFNA(analysis_calculated[[#This Row],[ECB_DFR]]-_xlfn.XLOOKUP(EOMONTH(analysis_calculated[[#This Row],[DATE]],-1),analysis_calculated[DATE],analysis_calculated[ECB_DFR]),"")</f>
        <v>0</v>
      </c>
      <c r="M66" s="4" t="str">
        <f>IF(analysis_calculated[[#This Row],[ECB_DFR]]&lt;0,"Negative Rate",IF(analysis_calculated[[#This Row],[ECB_DFR]]=0,"Zero Rate","Positive Rate"))</f>
        <v>Positive Rate</v>
      </c>
    </row>
    <row r="67" spans="1:13" x14ac:dyDescent="0.35">
      <c r="A67" s="1">
        <v>45473</v>
      </c>
      <c r="B67" t="s">
        <v>71</v>
      </c>
      <c r="C67">
        <f>YEAR(analysis_calculated[[#This Row],[DATE]])</f>
        <v>2024</v>
      </c>
      <c r="D67" s="4">
        <v>5.03</v>
      </c>
      <c r="E67" s="4">
        <v>70123</v>
      </c>
      <c r="F67" s="4">
        <v>1362908</v>
      </c>
      <c r="G67" s="4">
        <f>_xlfn.XLOOKUP(analysis_calculated[[#This Row],[DATE]],Table1[DATE],Table1[Deposit facility - date of changes (raw data) - Level (FM.D.U2.EUR.4F.KR.DFR.LEV)],,-1)</f>
        <v>3.75</v>
      </c>
      <c r="H67" s="4">
        <f>analysis_calculated[[#This Row],[Corporate_Loan_Rate]]-analysis_calculated[[#This Row],[ECB_DFR]]</f>
        <v>1.2800000000000002</v>
      </c>
      <c r="I67" s="5">
        <f>IFERROR(analysis_calculated[[#This Row],[New_Loan_Volume]]/_xlfn.XLOOKUP(EOMONTH(analysis_calculated[[#This Row],[DATE]],-12),analysis_calculated[DATE],analysis_calculated[New_Loan_Volume])-1,"")</f>
        <v>3.6494516214857997E-2</v>
      </c>
      <c r="J67" s="5">
        <f>IFERROR(analysis_calculated[[#This Row],[Loan_Stock]]/_xlfn.XLOOKUP(EOMONTH(analysis_calculated[[#This Row],[DATE]],-12),analysis_calculated[DATE],analysis_calculated[Loan_Stock])-1,"")</f>
        <v>5.1640747957453215E-3</v>
      </c>
      <c r="K67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62768.333333333336</v>
      </c>
      <c r="L67" s="4">
        <f>_xlfn.IFNA(analysis_calculated[[#This Row],[ECB_DFR]]-_xlfn.XLOOKUP(EOMONTH(analysis_calculated[[#This Row],[DATE]],-1),analysis_calculated[DATE],analysis_calculated[ECB_DFR]),"")</f>
        <v>-0.25</v>
      </c>
      <c r="M67" s="4" t="str">
        <f>IF(analysis_calculated[[#This Row],[ECB_DFR]]&lt;0,"Negative Rate",IF(analysis_calculated[[#This Row],[ECB_DFR]]=0,"Zero Rate","Positive Rate"))</f>
        <v>Positive Rate</v>
      </c>
    </row>
    <row r="68" spans="1:13" x14ac:dyDescent="0.35">
      <c r="A68" s="1">
        <v>45504</v>
      </c>
      <c r="B68" t="s">
        <v>72</v>
      </c>
      <c r="C68">
        <f>YEAR(analysis_calculated[[#This Row],[DATE]])</f>
        <v>2024</v>
      </c>
      <c r="D68" s="4">
        <v>4.93</v>
      </c>
      <c r="E68" s="4">
        <v>60191</v>
      </c>
      <c r="F68" s="4">
        <v>1361742</v>
      </c>
      <c r="G68" s="4">
        <f>_xlfn.XLOOKUP(analysis_calculated[[#This Row],[DATE]],Table1[DATE],Table1[Deposit facility - date of changes (raw data) - Level (FM.D.U2.EUR.4F.KR.DFR.LEV)],,-1)</f>
        <v>3.75</v>
      </c>
      <c r="H68" s="4">
        <f>analysis_calculated[[#This Row],[Corporate_Loan_Rate]]-analysis_calculated[[#This Row],[ECB_DFR]]</f>
        <v>1.1799999999999997</v>
      </c>
      <c r="I68" s="5">
        <f>IFERROR(analysis_calculated[[#This Row],[New_Loan_Volume]]/_xlfn.XLOOKUP(EOMONTH(analysis_calculated[[#This Row],[DATE]],-12),analysis_calculated[DATE],analysis_calculated[New_Loan_Volume])-1,"")</f>
        <v>4.7656345186500193E-2</v>
      </c>
      <c r="J68" s="5">
        <f>IFERROR(analysis_calculated[[#This Row],[Loan_Stock]]/_xlfn.XLOOKUP(EOMONTH(analysis_calculated[[#This Row],[DATE]],-12),analysis_calculated[DATE],analysis_calculated[Loan_Stock])-1,"")</f>
        <v>5.7753520319536733E-4</v>
      </c>
      <c r="K68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63963.333333333336</v>
      </c>
      <c r="L68" s="4">
        <f>_xlfn.IFNA(analysis_calculated[[#This Row],[ECB_DFR]]-_xlfn.XLOOKUP(EOMONTH(analysis_calculated[[#This Row],[DATE]],-1),analysis_calculated[DATE],analysis_calculated[ECB_DFR]),"")</f>
        <v>0</v>
      </c>
      <c r="M68" s="4" t="str">
        <f>IF(analysis_calculated[[#This Row],[ECB_DFR]]&lt;0,"Negative Rate",IF(analysis_calculated[[#This Row],[ECB_DFR]]=0,"Zero Rate","Positive Rate"))</f>
        <v>Positive Rate</v>
      </c>
    </row>
    <row r="69" spans="1:13" x14ac:dyDescent="0.35">
      <c r="A69" s="1">
        <v>45535</v>
      </c>
      <c r="B69" t="s">
        <v>73</v>
      </c>
      <c r="C69">
        <f>YEAR(analysis_calculated[[#This Row],[DATE]])</f>
        <v>2024</v>
      </c>
      <c r="D69" s="4">
        <v>5.03</v>
      </c>
      <c r="E69" s="4">
        <v>56093</v>
      </c>
      <c r="F69" s="4">
        <v>1361490</v>
      </c>
      <c r="G69" s="4">
        <f>_xlfn.XLOOKUP(analysis_calculated[[#This Row],[DATE]],Table1[DATE],Table1[Deposit facility - date of changes (raw data) - Level (FM.D.U2.EUR.4F.KR.DFR.LEV)],,-1)</f>
        <v>3.75</v>
      </c>
      <c r="H69" s="4">
        <f>analysis_calculated[[#This Row],[Corporate_Loan_Rate]]-analysis_calculated[[#This Row],[ECB_DFR]]</f>
        <v>1.2800000000000002</v>
      </c>
      <c r="I69" s="5">
        <f>IFERROR(analysis_calculated[[#This Row],[New_Loan_Volume]]/_xlfn.XLOOKUP(EOMONTH(analysis_calculated[[#This Row],[DATE]],-12),analysis_calculated[DATE],analysis_calculated[New_Loan_Volume])-1,"")</f>
        <v>7.9188872001077382E-2</v>
      </c>
      <c r="J69" s="5">
        <f>IFERROR(analysis_calculated[[#This Row],[Loan_Stock]]/_xlfn.XLOOKUP(EOMONTH(analysis_calculated[[#This Row],[DATE]],-12),analysis_calculated[DATE],analysis_calculated[Loan_Stock])-1,"")</f>
        <v>3.9664894687825303E-3</v>
      </c>
      <c r="K69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62135.666666666664</v>
      </c>
      <c r="L69" s="4">
        <f>_xlfn.IFNA(analysis_calculated[[#This Row],[ECB_DFR]]-_xlfn.XLOOKUP(EOMONTH(analysis_calculated[[#This Row],[DATE]],-1),analysis_calculated[DATE],analysis_calculated[ECB_DFR]),"")</f>
        <v>0</v>
      </c>
      <c r="M69" s="4" t="str">
        <f>IF(analysis_calculated[[#This Row],[ECB_DFR]]&lt;0,"Negative Rate",IF(analysis_calculated[[#This Row],[ECB_DFR]]=0,"Zero Rate","Positive Rate"))</f>
        <v>Positive Rate</v>
      </c>
    </row>
    <row r="70" spans="1:13" x14ac:dyDescent="0.35">
      <c r="A70" s="1">
        <v>45565</v>
      </c>
      <c r="B70" t="s">
        <v>74</v>
      </c>
      <c r="C70">
        <f>YEAR(analysis_calculated[[#This Row],[DATE]])</f>
        <v>2024</v>
      </c>
      <c r="D70" s="4">
        <v>4.6100000000000003</v>
      </c>
      <c r="E70" s="4">
        <v>77186</v>
      </c>
      <c r="F70" s="4">
        <v>1360701</v>
      </c>
      <c r="G70" s="4">
        <f>_xlfn.XLOOKUP(analysis_calculated[[#This Row],[DATE]],Table1[DATE],Table1[Deposit facility - date of changes (raw data) - Level (FM.D.U2.EUR.4F.KR.DFR.LEV)],,-1)</f>
        <v>3.5</v>
      </c>
      <c r="H70" s="4">
        <f>analysis_calculated[[#This Row],[Corporate_Loan_Rate]]-analysis_calculated[[#This Row],[ECB_DFR]]</f>
        <v>1.1100000000000003</v>
      </c>
      <c r="I70" s="5">
        <f>IFERROR(analysis_calculated[[#This Row],[New_Loan_Volume]]/_xlfn.XLOOKUP(EOMONTH(analysis_calculated[[#This Row],[DATE]],-12),analysis_calculated[DATE],analysis_calculated[New_Loan_Volume])-1,"")</f>
        <v>0.33968584569990457</v>
      </c>
      <c r="J70" s="5">
        <f>IFERROR(analysis_calculated[[#This Row],[Loan_Stock]]/_xlfn.XLOOKUP(EOMONTH(analysis_calculated[[#This Row],[DATE]],-12),analysis_calculated[DATE],analysis_calculated[Loan_Stock])-1,"")</f>
        <v>6.1550884109977666E-3</v>
      </c>
      <c r="K70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64490</v>
      </c>
      <c r="L70" s="4">
        <f>_xlfn.IFNA(analysis_calculated[[#This Row],[ECB_DFR]]-_xlfn.XLOOKUP(EOMONTH(analysis_calculated[[#This Row],[DATE]],-1),analysis_calculated[DATE],analysis_calculated[ECB_DFR]),"")</f>
        <v>-0.25</v>
      </c>
      <c r="M70" s="4" t="str">
        <f>IF(analysis_calculated[[#This Row],[ECB_DFR]]&lt;0,"Negative Rate",IF(analysis_calculated[[#This Row],[ECB_DFR]]=0,"Zero Rate","Positive Rate"))</f>
        <v>Positive Rate</v>
      </c>
    </row>
    <row r="71" spans="1:13" x14ac:dyDescent="0.35">
      <c r="A71" s="1">
        <v>45596</v>
      </c>
      <c r="B71" t="s">
        <v>75</v>
      </c>
      <c r="C71">
        <f>YEAR(analysis_calculated[[#This Row],[DATE]])</f>
        <v>2024</v>
      </c>
      <c r="D71" s="4">
        <v>4.63</v>
      </c>
      <c r="E71" s="4">
        <v>71158</v>
      </c>
      <c r="F71" s="4">
        <v>1358515</v>
      </c>
      <c r="G71" s="4">
        <f>_xlfn.XLOOKUP(analysis_calculated[[#This Row],[DATE]],Table1[DATE],Table1[Deposit facility - date of changes (raw data) - Level (FM.D.U2.EUR.4F.KR.DFR.LEV)],,-1)</f>
        <v>3.25</v>
      </c>
      <c r="H71" s="4">
        <f>analysis_calculated[[#This Row],[Corporate_Loan_Rate]]-analysis_calculated[[#This Row],[ECB_DFR]]</f>
        <v>1.38</v>
      </c>
      <c r="I71" s="5">
        <f>IFERROR(analysis_calculated[[#This Row],[New_Loan_Volume]]/_xlfn.XLOOKUP(EOMONTH(analysis_calculated[[#This Row],[DATE]],-12),analysis_calculated[DATE],analysis_calculated[New_Loan_Volume])-1,"")</f>
        <v>0.36884425977223767</v>
      </c>
      <c r="J71" s="5">
        <f>IFERROR(analysis_calculated[[#This Row],[Loan_Stock]]/_xlfn.XLOOKUP(EOMONTH(analysis_calculated[[#This Row],[DATE]],-12),analysis_calculated[DATE],analysis_calculated[Loan_Stock])-1,"")</f>
        <v>2.6814143224280773E-3</v>
      </c>
      <c r="K71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68145.666666666672</v>
      </c>
      <c r="L71" s="4">
        <f>_xlfn.IFNA(analysis_calculated[[#This Row],[ECB_DFR]]-_xlfn.XLOOKUP(EOMONTH(analysis_calculated[[#This Row],[DATE]],-1),analysis_calculated[DATE],analysis_calculated[ECB_DFR]),"")</f>
        <v>-0.25</v>
      </c>
      <c r="M71" s="4" t="str">
        <f>IF(analysis_calculated[[#This Row],[ECB_DFR]]&lt;0,"Negative Rate",IF(analysis_calculated[[#This Row],[ECB_DFR]]=0,"Zero Rate","Positive Rate"))</f>
        <v>Positive Rate</v>
      </c>
    </row>
    <row r="72" spans="1:13" x14ac:dyDescent="0.35">
      <c r="A72" s="1">
        <v>45626</v>
      </c>
      <c r="B72" t="s">
        <v>76</v>
      </c>
      <c r="C72">
        <f>YEAR(analysis_calculated[[#This Row],[DATE]])</f>
        <v>2024</v>
      </c>
      <c r="D72" s="4">
        <v>4.3899999999999997</v>
      </c>
      <c r="E72" s="4">
        <v>58535</v>
      </c>
      <c r="F72" s="4">
        <v>1364732</v>
      </c>
      <c r="G72" s="4">
        <f>_xlfn.XLOOKUP(analysis_calculated[[#This Row],[DATE]],Table1[DATE],Table1[Deposit facility - date of changes (raw data) - Level (FM.D.U2.EUR.4F.KR.DFR.LEV)],,-1)</f>
        <v>3.25</v>
      </c>
      <c r="H72" s="4">
        <f>analysis_calculated[[#This Row],[Corporate_Loan_Rate]]-analysis_calculated[[#This Row],[ECB_DFR]]</f>
        <v>1.1399999999999997</v>
      </c>
      <c r="I72" s="5">
        <f>IFERROR(analysis_calculated[[#This Row],[New_Loan_Volume]]/_xlfn.XLOOKUP(EOMONTH(analysis_calculated[[#This Row],[DATE]],-12),analysis_calculated[DATE],analysis_calculated[New_Loan_Volume])-1,"")</f>
        <v>2.9657513764534071E-2</v>
      </c>
      <c r="J72" s="5">
        <f>IFERROR(analysis_calculated[[#This Row],[Loan_Stock]]/_xlfn.XLOOKUP(EOMONTH(analysis_calculated[[#This Row],[DATE]],-12),analysis_calculated[DATE],analysis_calculated[Loan_Stock])-1,"")</f>
        <v>2.9366460503728042E-3</v>
      </c>
      <c r="K72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68959.666666666672</v>
      </c>
      <c r="L72" s="4">
        <f>_xlfn.IFNA(analysis_calculated[[#This Row],[ECB_DFR]]-_xlfn.XLOOKUP(EOMONTH(analysis_calculated[[#This Row],[DATE]],-1),analysis_calculated[DATE],analysis_calculated[ECB_DFR]),"")</f>
        <v>0</v>
      </c>
      <c r="M72" s="4" t="str">
        <f>IF(analysis_calculated[[#This Row],[ECB_DFR]]&lt;0,"Negative Rate",IF(analysis_calculated[[#This Row],[ECB_DFR]]=0,"Zero Rate","Positive Rate"))</f>
        <v>Positive Rate</v>
      </c>
    </row>
    <row r="73" spans="1:13" x14ac:dyDescent="0.35">
      <c r="A73" s="1">
        <v>45657</v>
      </c>
      <c r="B73" t="s">
        <v>77</v>
      </c>
      <c r="C73">
        <f>YEAR(analysis_calculated[[#This Row],[DATE]])</f>
        <v>2024</v>
      </c>
      <c r="D73" s="4">
        <v>4.24</v>
      </c>
      <c r="E73" s="4">
        <v>75940</v>
      </c>
      <c r="F73" s="4">
        <v>1362703</v>
      </c>
      <c r="G73" s="4">
        <f>_xlfn.XLOOKUP(analysis_calculated[[#This Row],[DATE]],Table1[DATE],Table1[Deposit facility - date of changes (raw data) - Level (FM.D.U2.EUR.4F.KR.DFR.LEV)],,-1)</f>
        <v>3</v>
      </c>
      <c r="H73" s="4">
        <f>analysis_calculated[[#This Row],[Corporate_Loan_Rate]]-analysis_calculated[[#This Row],[ECB_DFR]]</f>
        <v>1.2400000000000002</v>
      </c>
      <c r="I73" s="5">
        <f>IFERROR(analysis_calculated[[#This Row],[New_Loan_Volume]]/_xlfn.XLOOKUP(EOMONTH(analysis_calculated[[#This Row],[DATE]],-12),analysis_calculated[DATE],analysis_calculated[New_Loan_Volume])-1,"")</f>
        <v>-1.2432376196421124E-2</v>
      </c>
      <c r="J73" s="5">
        <f>IFERROR(analysis_calculated[[#This Row],[Loan_Stock]]/_xlfn.XLOOKUP(EOMONTH(analysis_calculated[[#This Row],[DATE]],-12),analysis_calculated[DATE],analysis_calculated[Loan_Stock])-1,"")</f>
        <v>6.7153610374603989E-3</v>
      </c>
      <c r="K73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68544.333333333328</v>
      </c>
      <c r="L73" s="4">
        <f>_xlfn.IFNA(analysis_calculated[[#This Row],[ECB_DFR]]-_xlfn.XLOOKUP(EOMONTH(analysis_calculated[[#This Row],[DATE]],-1),analysis_calculated[DATE],analysis_calculated[ECB_DFR]),"")</f>
        <v>-0.25</v>
      </c>
      <c r="M73" s="4" t="str">
        <f>IF(analysis_calculated[[#This Row],[ECB_DFR]]&lt;0,"Negative Rate",IF(analysis_calculated[[#This Row],[ECB_DFR]]=0,"Zero Rate","Positive Rate"))</f>
        <v>Positive Rate</v>
      </c>
    </row>
    <row r="74" spans="1:13" x14ac:dyDescent="0.35">
      <c r="A74" s="1">
        <v>45688</v>
      </c>
      <c r="B74" t="s">
        <v>78</v>
      </c>
      <c r="C74">
        <f>YEAR(analysis_calculated[[#This Row],[DATE]])</f>
        <v>2025</v>
      </c>
      <c r="D74" s="4">
        <v>4.24</v>
      </c>
      <c r="E74" s="4">
        <v>52859</v>
      </c>
      <c r="F74" s="4">
        <v>1365920</v>
      </c>
      <c r="G74" s="4">
        <f>_xlfn.XLOOKUP(analysis_calculated[[#This Row],[DATE]],Table1[DATE],Table1[Deposit facility - date of changes (raw data) - Level (FM.D.U2.EUR.4F.KR.DFR.LEV)],,-1)</f>
        <v>3</v>
      </c>
      <c r="H74" s="4">
        <f>analysis_calculated[[#This Row],[Corporate_Loan_Rate]]-analysis_calculated[[#This Row],[ECB_DFR]]</f>
        <v>1.2400000000000002</v>
      </c>
      <c r="I74" s="5">
        <f>IFERROR(analysis_calculated[[#This Row],[New_Loan_Volume]]/_xlfn.XLOOKUP(EOMONTH(analysis_calculated[[#This Row],[DATE]],-12),analysis_calculated[DATE],analysis_calculated[New_Loan_Volume])-1,"")</f>
        <v>-7.6036347251426939E-3</v>
      </c>
      <c r="J74" s="5">
        <f>IFERROR(analysis_calculated[[#This Row],[Loan_Stock]]/_xlfn.XLOOKUP(EOMONTH(analysis_calculated[[#This Row],[DATE]],-12),analysis_calculated[DATE],analysis_calculated[Loan_Stock])-1,"")</f>
        <v>6.733569971344E-3</v>
      </c>
      <c r="K74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62444.666666666664</v>
      </c>
      <c r="L74" s="4">
        <f>_xlfn.IFNA(analysis_calculated[[#This Row],[ECB_DFR]]-_xlfn.XLOOKUP(EOMONTH(analysis_calculated[[#This Row],[DATE]],-1),analysis_calculated[DATE],analysis_calculated[ECB_DFR]),"")</f>
        <v>0</v>
      </c>
      <c r="M74" s="4" t="str">
        <f>IF(analysis_calculated[[#This Row],[ECB_DFR]]&lt;0,"Negative Rate",IF(analysis_calculated[[#This Row],[ECB_DFR]]=0,"Zero Rate","Positive Rate"))</f>
        <v>Positive Rate</v>
      </c>
    </row>
    <row r="75" spans="1:13" x14ac:dyDescent="0.35">
      <c r="A75" s="1">
        <v>45716</v>
      </c>
      <c r="B75" t="s">
        <v>79</v>
      </c>
      <c r="C75">
        <f>YEAR(analysis_calculated[[#This Row],[DATE]])</f>
        <v>2025</v>
      </c>
      <c r="D75" s="4">
        <v>4.09</v>
      </c>
      <c r="E75" s="4">
        <v>54450</v>
      </c>
      <c r="F75" s="4">
        <v>1370357</v>
      </c>
      <c r="G75" s="4">
        <f>_xlfn.XLOOKUP(analysis_calculated[[#This Row],[DATE]],Table1[DATE],Table1[Deposit facility - date of changes (raw data) - Level (FM.D.U2.EUR.4F.KR.DFR.LEV)],,-1)</f>
        <v>2.75</v>
      </c>
      <c r="H75" s="4">
        <f>analysis_calculated[[#This Row],[Corporate_Loan_Rate]]-analysis_calculated[[#This Row],[ECB_DFR]]</f>
        <v>1.3399999999999999</v>
      </c>
      <c r="I75" s="5">
        <f>IFERROR(analysis_calculated[[#This Row],[New_Loan_Volume]]/_xlfn.XLOOKUP(EOMONTH(analysis_calculated[[#This Row],[DATE]],-12),analysis_calculated[DATE],analysis_calculated[New_Loan_Volume])-1,"")</f>
        <v>9.8481054915706689E-3</v>
      </c>
      <c r="J75" s="5">
        <f>IFERROR(analysis_calculated[[#This Row],[Loan_Stock]]/_xlfn.XLOOKUP(EOMONTH(analysis_calculated[[#This Row],[DATE]],-12),analysis_calculated[DATE],analysis_calculated[Loan_Stock])-1,"")</f>
        <v>7.1281688712372393E-3</v>
      </c>
      <c r="K75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61083</v>
      </c>
      <c r="L75" s="4">
        <f>_xlfn.IFNA(analysis_calculated[[#This Row],[ECB_DFR]]-_xlfn.XLOOKUP(EOMONTH(analysis_calculated[[#This Row],[DATE]],-1),analysis_calculated[DATE],analysis_calculated[ECB_DFR]),"")</f>
        <v>-0.25</v>
      </c>
      <c r="M75" s="4" t="str">
        <f>IF(analysis_calculated[[#This Row],[ECB_DFR]]&lt;0,"Negative Rate",IF(analysis_calculated[[#This Row],[ECB_DFR]]=0,"Zero Rate","Positive Rate"))</f>
        <v>Positive Rate</v>
      </c>
    </row>
    <row r="76" spans="1:13" x14ac:dyDescent="0.35">
      <c r="A76" s="1">
        <v>45747</v>
      </c>
      <c r="B76" t="s">
        <v>80</v>
      </c>
      <c r="C76">
        <f>YEAR(analysis_calculated[[#This Row],[DATE]])</f>
        <v>2025</v>
      </c>
      <c r="D76" s="4">
        <v>3.66</v>
      </c>
      <c r="E76" s="4">
        <v>85751</v>
      </c>
      <c r="F76" s="4">
        <v>1369480</v>
      </c>
      <c r="G76" s="4">
        <f>_xlfn.XLOOKUP(analysis_calculated[[#This Row],[DATE]],Table1[DATE],Table1[Deposit facility - date of changes (raw data) - Level (FM.D.U2.EUR.4F.KR.DFR.LEV)],,-1)</f>
        <v>2.5</v>
      </c>
      <c r="H76" s="4">
        <f>analysis_calculated[[#This Row],[Corporate_Loan_Rate]]-analysis_calculated[[#This Row],[ECB_DFR]]</f>
        <v>1.1600000000000001</v>
      </c>
      <c r="I76" s="5">
        <f>IFERROR(analysis_calculated[[#This Row],[New_Loan_Volume]]/_xlfn.XLOOKUP(EOMONTH(analysis_calculated[[#This Row],[DATE]],-12),analysis_calculated[DATE],analysis_calculated[New_Loan_Volume])-1,"")</f>
        <v>0.30370201444317746</v>
      </c>
      <c r="J76" s="5">
        <f>IFERROR(analysis_calculated[[#This Row],[Loan_Stock]]/_xlfn.XLOOKUP(EOMONTH(analysis_calculated[[#This Row],[DATE]],-12),analysis_calculated[DATE],analysis_calculated[Loan_Stock])-1,"")</f>
        <v>6.1937474743765097E-3</v>
      </c>
      <c r="K76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64353.333333333336</v>
      </c>
      <c r="L76" s="4">
        <f>_xlfn.IFNA(analysis_calculated[[#This Row],[ECB_DFR]]-_xlfn.XLOOKUP(EOMONTH(analysis_calculated[[#This Row],[DATE]],-1),analysis_calculated[DATE],analysis_calculated[ECB_DFR]),"")</f>
        <v>-0.25</v>
      </c>
      <c r="M76" s="4" t="str">
        <f>IF(analysis_calculated[[#This Row],[ECB_DFR]]&lt;0,"Negative Rate",IF(analysis_calculated[[#This Row],[ECB_DFR]]=0,"Zero Rate","Positive Rate"))</f>
        <v>Positive Rate</v>
      </c>
    </row>
    <row r="77" spans="1:13" x14ac:dyDescent="0.35">
      <c r="A77" s="1">
        <v>45777</v>
      </c>
      <c r="B77" t="s">
        <v>81</v>
      </c>
      <c r="C77">
        <f>YEAR(analysis_calculated[[#This Row],[DATE]])</f>
        <v>2025</v>
      </c>
      <c r="D77" s="4">
        <v>3.57</v>
      </c>
      <c r="E77" s="4">
        <v>72461</v>
      </c>
      <c r="F77" s="4">
        <v>1370428</v>
      </c>
      <c r="G77" s="4">
        <f>_xlfn.XLOOKUP(analysis_calculated[[#This Row],[DATE]],Table1[DATE],Table1[Deposit facility - date of changes (raw data) - Level (FM.D.U2.EUR.4F.KR.DFR.LEV)],,-1)</f>
        <v>2.25</v>
      </c>
      <c r="H77" s="4">
        <f>analysis_calculated[[#This Row],[Corporate_Loan_Rate]]-analysis_calculated[[#This Row],[ECB_DFR]]</f>
        <v>1.3199999999999998</v>
      </c>
      <c r="I77" s="5">
        <f>IFERROR(analysis_calculated[[#This Row],[New_Loan_Volume]]/_xlfn.XLOOKUP(EOMONTH(analysis_calculated[[#This Row],[DATE]],-12),analysis_calculated[DATE],analysis_calculated[New_Loan_Volume])-1,"")</f>
        <v>0.2800939829700031</v>
      </c>
      <c r="J77" s="5">
        <f>IFERROR(analysis_calculated[[#This Row],[Loan_Stock]]/_xlfn.XLOOKUP(EOMONTH(analysis_calculated[[#This Row],[DATE]],-12),analysis_calculated[DATE],analysis_calculated[Loan_Stock])-1,"")</f>
        <v>7.2854711006706818E-3</v>
      </c>
      <c r="K77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70887.333333333328</v>
      </c>
      <c r="L77" s="4">
        <f>_xlfn.IFNA(analysis_calculated[[#This Row],[ECB_DFR]]-_xlfn.XLOOKUP(EOMONTH(analysis_calculated[[#This Row],[DATE]],-1),analysis_calculated[DATE],analysis_calculated[ECB_DFR]),"")</f>
        <v>-0.25</v>
      </c>
      <c r="M77" s="4" t="str">
        <f>IF(analysis_calculated[[#This Row],[ECB_DFR]]&lt;0,"Negative Rate",IF(analysis_calculated[[#This Row],[ECB_DFR]]=0,"Zero Rate","Positive Rate"))</f>
        <v>Positive Rate</v>
      </c>
    </row>
    <row r="78" spans="1:13" x14ac:dyDescent="0.35">
      <c r="A78" s="1">
        <v>45808</v>
      </c>
      <c r="B78" t="s">
        <v>82</v>
      </c>
      <c r="C78">
        <f>YEAR(analysis_calculated[[#This Row],[DATE]])</f>
        <v>2025</v>
      </c>
      <c r="D78" s="4">
        <v>3.39</v>
      </c>
      <c r="E78" s="4">
        <v>70087</v>
      </c>
      <c r="F78" s="4">
        <v>1370056</v>
      </c>
      <c r="G78" s="4">
        <f>_xlfn.XLOOKUP(analysis_calculated[[#This Row],[DATE]],Table1[DATE],Table1[Deposit facility - date of changes (raw data) - Level (FM.D.U2.EUR.4F.KR.DFR.LEV)],,-1)</f>
        <v>2.25</v>
      </c>
      <c r="H78" s="4">
        <f>analysis_calculated[[#This Row],[Corporate_Loan_Rate]]-analysis_calculated[[#This Row],[ECB_DFR]]</f>
        <v>1.1400000000000001</v>
      </c>
      <c r="I78" s="5">
        <f>IFERROR(analysis_calculated[[#This Row],[New_Loan_Volume]]/_xlfn.XLOOKUP(EOMONTH(analysis_calculated[[#This Row],[DATE]],-12),analysis_calculated[DATE],analysis_calculated[New_Loan_Volume])-1,"")</f>
        <v>0.13821943614395216</v>
      </c>
      <c r="J78" s="5">
        <f>IFERROR(analysis_calculated[[#This Row],[Loan_Stock]]/_xlfn.XLOOKUP(EOMONTH(analysis_calculated[[#This Row],[DATE]],-12),analysis_calculated[DATE],analysis_calculated[Loan_Stock])-1,"")</f>
        <v>5.2594197028663636E-3</v>
      </c>
      <c r="K78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76099.666666666672</v>
      </c>
      <c r="L78" s="4">
        <f>_xlfn.IFNA(analysis_calculated[[#This Row],[ECB_DFR]]-_xlfn.XLOOKUP(EOMONTH(analysis_calculated[[#This Row],[DATE]],-1),analysis_calculated[DATE],analysis_calculated[ECB_DFR]),"")</f>
        <v>0</v>
      </c>
      <c r="M78" s="4" t="str">
        <f>IF(analysis_calculated[[#This Row],[ECB_DFR]]&lt;0,"Negative Rate",IF(analysis_calculated[[#This Row],[ECB_DFR]]=0,"Zero Rate","Positive Rate"))</f>
        <v>Positive Rate</v>
      </c>
    </row>
    <row r="79" spans="1:13" x14ac:dyDescent="0.35">
      <c r="A79" s="1">
        <v>45838</v>
      </c>
      <c r="B79" t="s">
        <v>83</v>
      </c>
      <c r="C79">
        <f>YEAR(analysis_calculated[[#This Row],[DATE]])</f>
        <v>2025</v>
      </c>
      <c r="D79" s="4">
        <v>3.42</v>
      </c>
      <c r="E79" s="4">
        <v>80306</v>
      </c>
      <c r="F79" s="4">
        <v>1368802</v>
      </c>
      <c r="G79" s="4">
        <f>_xlfn.XLOOKUP(analysis_calculated[[#This Row],[DATE]],Table1[DATE],Table1[Deposit facility - date of changes (raw data) - Level (FM.D.U2.EUR.4F.KR.DFR.LEV)],,-1)</f>
        <v>2</v>
      </c>
      <c r="H79" s="4">
        <f>analysis_calculated[[#This Row],[Corporate_Loan_Rate]]-analysis_calculated[[#This Row],[ECB_DFR]]</f>
        <v>1.42</v>
      </c>
      <c r="I79" s="5">
        <f>IFERROR(analysis_calculated[[#This Row],[New_Loan_Volume]]/_xlfn.XLOOKUP(EOMONTH(analysis_calculated[[#This Row],[DATE]],-12),analysis_calculated[DATE],analysis_calculated[New_Loan_Volume])-1,"")</f>
        <v>0.14521626285241651</v>
      </c>
      <c r="J79" s="5">
        <f>IFERROR(analysis_calculated[[#This Row],[Loan_Stock]]/_xlfn.XLOOKUP(EOMONTH(analysis_calculated[[#This Row],[DATE]],-12),analysis_calculated[DATE],analysis_calculated[Loan_Stock])-1,"")</f>
        <v>4.3245765671637848E-3</v>
      </c>
      <c r="K79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74284.666666666672</v>
      </c>
      <c r="L79" s="4">
        <f>_xlfn.IFNA(analysis_calculated[[#This Row],[ECB_DFR]]-_xlfn.XLOOKUP(EOMONTH(analysis_calculated[[#This Row],[DATE]],-1),analysis_calculated[DATE],analysis_calculated[ECB_DFR]),"")</f>
        <v>-0.25</v>
      </c>
      <c r="M79" s="4" t="str">
        <f>IF(analysis_calculated[[#This Row],[ECB_DFR]]&lt;0,"Negative Rate",IF(analysis_calculated[[#This Row],[ECB_DFR]]=0,"Zero Rate","Positive Rate"))</f>
        <v>Positive Rate</v>
      </c>
    </row>
    <row r="80" spans="1:13" x14ac:dyDescent="0.35">
      <c r="A80" s="1">
        <v>45869</v>
      </c>
      <c r="B80" t="s">
        <v>84</v>
      </c>
      <c r="C80">
        <f>YEAR(analysis_calculated[[#This Row],[DATE]])</f>
        <v>2025</v>
      </c>
      <c r="D80" s="4">
        <v>3.27</v>
      </c>
      <c r="E80" s="4">
        <v>76197</v>
      </c>
      <c r="F80" s="4">
        <v>1369665</v>
      </c>
      <c r="G80" s="4">
        <f>_xlfn.XLOOKUP(analysis_calculated[[#This Row],[DATE]],Table1[DATE],Table1[Deposit facility - date of changes (raw data) - Level (FM.D.U2.EUR.4F.KR.DFR.LEV)],,-1)</f>
        <v>2</v>
      </c>
      <c r="H80" s="4">
        <f>analysis_calculated[[#This Row],[Corporate_Loan_Rate]]-analysis_calculated[[#This Row],[ECB_DFR]]</f>
        <v>1.27</v>
      </c>
      <c r="I80" s="5">
        <f>IFERROR(analysis_calculated[[#This Row],[New_Loan_Volume]]/_xlfn.XLOOKUP(EOMONTH(analysis_calculated[[#This Row],[DATE]],-12),analysis_calculated[DATE],analysis_calculated[New_Loan_Volume])-1,"")</f>
        <v>0.26592015417587356</v>
      </c>
      <c r="J80" s="5">
        <f>IFERROR(analysis_calculated[[#This Row],[Loan_Stock]]/_xlfn.XLOOKUP(EOMONTH(analysis_calculated[[#This Row],[DATE]],-12),analysis_calculated[DATE],analysis_calculated[Loan_Stock])-1,"")</f>
        <v>5.8182827584079E-3</v>
      </c>
      <c r="K80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75530</v>
      </c>
      <c r="L80" s="4">
        <f>_xlfn.IFNA(analysis_calculated[[#This Row],[ECB_DFR]]-_xlfn.XLOOKUP(EOMONTH(analysis_calculated[[#This Row],[DATE]],-1),analysis_calculated[DATE],analysis_calculated[ECB_DFR]),"")</f>
        <v>0</v>
      </c>
      <c r="M80" s="4" t="str">
        <f>IF(analysis_calculated[[#This Row],[ECB_DFR]]&lt;0,"Negative Rate",IF(analysis_calculated[[#This Row],[ECB_DFR]]=0,"Zero Rate","Positive Rate"))</f>
        <v>Positive Rate</v>
      </c>
    </row>
    <row r="81" spans="1:13" x14ac:dyDescent="0.35">
      <c r="A81" s="1">
        <v>45900</v>
      </c>
      <c r="B81" t="s">
        <v>85</v>
      </c>
      <c r="C81">
        <f>YEAR(analysis_calculated[[#This Row],[DATE]])</f>
        <v>2025</v>
      </c>
      <c r="D81" s="4">
        <v>3.13</v>
      </c>
      <c r="E81" s="4">
        <v>64868</v>
      </c>
      <c r="F81" s="4">
        <v>1376759</v>
      </c>
      <c r="G81" s="4">
        <f>_xlfn.XLOOKUP(analysis_calculated[[#This Row],[DATE]],Table1[DATE],Table1[Deposit facility - date of changes (raw data) - Level (FM.D.U2.EUR.4F.KR.DFR.LEV)],,-1)</f>
        <v>2</v>
      </c>
      <c r="H81" s="4">
        <f>analysis_calculated[[#This Row],[Corporate_Loan_Rate]]-analysis_calculated[[#This Row],[ECB_DFR]]</f>
        <v>1.1299999999999999</v>
      </c>
      <c r="I81" s="5">
        <f>IFERROR(analysis_calculated[[#This Row],[New_Loan_Volume]]/_xlfn.XLOOKUP(EOMONTH(analysis_calculated[[#This Row],[DATE]],-12),analysis_calculated[DATE],analysis_calculated[New_Loan_Volume])-1,"")</f>
        <v>0.1564366320218209</v>
      </c>
      <c r="J81" s="5">
        <f>IFERROR(analysis_calculated[[#This Row],[Loan_Stock]]/_xlfn.XLOOKUP(EOMONTH(analysis_calculated[[#This Row],[DATE]],-12),analysis_calculated[DATE],analysis_calculated[Loan_Stock])-1,"")</f>
        <v>1.1214918949092434E-2</v>
      </c>
      <c r="K81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73790.333333333328</v>
      </c>
      <c r="L81" s="4">
        <f>_xlfn.IFNA(analysis_calculated[[#This Row],[ECB_DFR]]-_xlfn.XLOOKUP(EOMONTH(analysis_calculated[[#This Row],[DATE]],-1),analysis_calculated[DATE],analysis_calculated[ECB_DFR]),"")</f>
        <v>0</v>
      </c>
      <c r="M81" s="4" t="str">
        <f>IF(analysis_calculated[[#This Row],[ECB_DFR]]&lt;0,"Negative Rate",IF(analysis_calculated[[#This Row],[ECB_DFR]]=0,"Zero Rate","Positive Rate"))</f>
        <v>Positive Rate</v>
      </c>
    </row>
    <row r="82" spans="1:13" x14ac:dyDescent="0.35">
      <c r="A82" s="1">
        <v>45930</v>
      </c>
      <c r="B82" t="s">
        <v>86</v>
      </c>
      <c r="C82">
        <f>YEAR(analysis_calculated[[#This Row],[DATE]])</f>
        <v>2025</v>
      </c>
      <c r="D82" s="4">
        <v>3.23</v>
      </c>
      <c r="E82" s="4">
        <v>80367</v>
      </c>
      <c r="F82" s="4">
        <v>1370695</v>
      </c>
      <c r="G82" s="4">
        <f>_xlfn.XLOOKUP(analysis_calculated[[#This Row],[DATE]],Table1[DATE],Table1[Deposit facility - date of changes (raw data) - Level (FM.D.U2.EUR.4F.KR.DFR.LEV)],,-1)</f>
        <v>2</v>
      </c>
      <c r="H82" s="4">
        <f>analysis_calculated[[#This Row],[Corporate_Loan_Rate]]-analysis_calculated[[#This Row],[ECB_DFR]]</f>
        <v>1.23</v>
      </c>
      <c r="I82" s="5">
        <f>IFERROR(analysis_calculated[[#This Row],[New_Loan_Volume]]/_xlfn.XLOOKUP(EOMONTH(analysis_calculated[[#This Row],[DATE]],-12),analysis_calculated[DATE],analysis_calculated[New_Loan_Volume])-1,"")</f>
        <v>4.1212136916020992E-2</v>
      </c>
      <c r="J82" s="5">
        <f>IFERROR(analysis_calculated[[#This Row],[Loan_Stock]]/_xlfn.XLOOKUP(EOMONTH(analysis_calculated[[#This Row],[DATE]],-12),analysis_calculated[DATE],analysis_calculated[Loan_Stock])-1,"")</f>
        <v>7.3447436284679313E-3</v>
      </c>
      <c r="K82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73810.666666666672</v>
      </c>
      <c r="L82" s="4">
        <f>_xlfn.IFNA(analysis_calculated[[#This Row],[ECB_DFR]]-_xlfn.XLOOKUP(EOMONTH(analysis_calculated[[#This Row],[DATE]],-1),analysis_calculated[DATE],analysis_calculated[ECB_DFR]),"")</f>
        <v>0</v>
      </c>
      <c r="M82" s="4" t="str">
        <f>IF(analysis_calculated[[#This Row],[ECB_DFR]]&lt;0,"Negative Rate",IF(analysis_calculated[[#This Row],[ECB_DFR]]=0,"Zero Rate","Positive Rate"))</f>
        <v>Positive Rate</v>
      </c>
    </row>
    <row r="83" spans="1:13" x14ac:dyDescent="0.35">
      <c r="A83" s="1">
        <v>45961</v>
      </c>
      <c r="B83" t="s">
        <v>87</v>
      </c>
      <c r="C83">
        <f>YEAR(analysis_calculated[[#This Row],[DATE]])</f>
        <v>2025</v>
      </c>
      <c r="D83" s="4">
        <v>3.25</v>
      </c>
      <c r="E83" s="4">
        <v>74794</v>
      </c>
      <c r="F83" s="4">
        <v>1373457</v>
      </c>
      <c r="G83" s="4">
        <f>_xlfn.XLOOKUP(analysis_calculated[[#This Row],[DATE]],Table1[DATE],Table1[Deposit facility - date of changes (raw data) - Level (FM.D.U2.EUR.4F.KR.DFR.LEV)],,-1)</f>
        <v>2</v>
      </c>
      <c r="H83" s="4">
        <f>analysis_calculated[[#This Row],[Corporate_Loan_Rate]]-analysis_calculated[[#This Row],[ECB_DFR]]</f>
        <v>1.25</v>
      </c>
      <c r="I83" s="5">
        <f>IFERROR(analysis_calculated[[#This Row],[New_Loan_Volume]]/_xlfn.XLOOKUP(EOMONTH(analysis_calculated[[#This Row],[DATE]],-12),analysis_calculated[DATE],analysis_calculated[New_Loan_Volume])-1,"")</f>
        <v>5.1097557547991723E-2</v>
      </c>
      <c r="J83" s="5">
        <f>IFERROR(analysis_calculated[[#This Row],[Loan_Stock]]/_xlfn.XLOOKUP(EOMONTH(analysis_calculated[[#This Row],[DATE]],-12),analysis_calculated[DATE],analysis_calculated[Loan_Stock])-1,"")</f>
        <v>1.0998774397043887E-2</v>
      </c>
      <c r="K83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73343</v>
      </c>
      <c r="L83" s="4">
        <f>_xlfn.IFNA(analysis_calculated[[#This Row],[ECB_DFR]]-_xlfn.XLOOKUP(EOMONTH(analysis_calculated[[#This Row],[DATE]],-1),analysis_calculated[DATE],analysis_calculated[ECB_DFR]),"")</f>
        <v>0</v>
      </c>
      <c r="M83" s="4" t="str">
        <f>IF(analysis_calculated[[#This Row],[ECB_DFR]]&lt;0,"Negative Rate",IF(analysis_calculated[[#This Row],[ECB_DFR]]=0,"Zero Rate","Positive Rate"))</f>
        <v>Positive Rate</v>
      </c>
    </row>
    <row r="84" spans="1:13" x14ac:dyDescent="0.35">
      <c r="A84" s="1">
        <v>45991</v>
      </c>
      <c r="B84" t="s">
        <v>88</v>
      </c>
      <c r="C84">
        <f>YEAR(analysis_calculated[[#This Row],[DATE]])</f>
        <v>2025</v>
      </c>
      <c r="D84" s="4">
        <v>3.26</v>
      </c>
      <c r="E84" s="4">
        <v>75330</v>
      </c>
      <c r="F84" s="4">
        <v>1380117</v>
      </c>
      <c r="G84" s="4">
        <f>_xlfn.XLOOKUP(analysis_calculated[[#This Row],[DATE]],Table1[DATE],Table1[Deposit facility - date of changes (raw data) - Level (FM.D.U2.EUR.4F.KR.DFR.LEV)],,-1)</f>
        <v>2</v>
      </c>
      <c r="H84" s="4">
        <f>analysis_calculated[[#This Row],[Corporate_Loan_Rate]]-analysis_calculated[[#This Row],[ECB_DFR]]</f>
        <v>1.2599999999999998</v>
      </c>
      <c r="I84" s="5">
        <f>IFERROR(analysis_calculated[[#This Row],[New_Loan_Volume]]/_xlfn.XLOOKUP(EOMONTH(analysis_calculated[[#This Row],[DATE]],-12),analysis_calculated[DATE],analysis_calculated[New_Loan_Volume])-1,"")</f>
        <v>0.28692235414709155</v>
      </c>
      <c r="J84" s="5">
        <f>IFERROR(analysis_calculated[[#This Row],[Loan_Stock]]/_xlfn.XLOOKUP(EOMONTH(analysis_calculated[[#This Row],[DATE]],-12),analysis_calculated[DATE],analysis_calculated[Loan_Stock])-1,"")</f>
        <v>1.1273275632138757E-2</v>
      </c>
      <c r="K84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76830.333333333328</v>
      </c>
      <c r="L84" s="4">
        <f>_xlfn.IFNA(analysis_calculated[[#This Row],[ECB_DFR]]-_xlfn.XLOOKUP(EOMONTH(analysis_calculated[[#This Row],[DATE]],-1),analysis_calculated[DATE],analysis_calculated[ECB_DFR]),"")</f>
        <v>0</v>
      </c>
      <c r="M84" s="4" t="str">
        <f>IF(analysis_calculated[[#This Row],[ECB_DFR]]&lt;0,"Negative Rate",IF(analysis_calculated[[#This Row],[ECB_DFR]]=0,"Zero Rate","Positive Rate"))</f>
        <v>Positive Rate</v>
      </c>
    </row>
    <row r="85" spans="1:13" x14ac:dyDescent="0.35">
      <c r="A85" s="1">
        <v>46022</v>
      </c>
      <c r="B85" t="s">
        <v>89</v>
      </c>
      <c r="C85">
        <f>YEAR(analysis_calculated[[#This Row],[DATE]])</f>
        <v>2025</v>
      </c>
      <c r="D85" s="4">
        <v>3.45</v>
      </c>
      <c r="E85" s="4">
        <v>92307</v>
      </c>
      <c r="F85" s="4">
        <v>1372452</v>
      </c>
      <c r="G85" s="4">
        <f>_xlfn.XLOOKUP(analysis_calculated[[#This Row],[DATE]],Table1[DATE],Table1[Deposit facility - date of changes (raw data) - Level (FM.D.U2.EUR.4F.KR.DFR.LEV)],,-1)</f>
        <v>2</v>
      </c>
      <c r="H85" s="4">
        <f>analysis_calculated[[#This Row],[Corporate_Loan_Rate]]-analysis_calculated[[#This Row],[ECB_DFR]]</f>
        <v>1.4500000000000002</v>
      </c>
      <c r="I85" s="5">
        <f>IFERROR(analysis_calculated[[#This Row],[New_Loan_Volume]]/_xlfn.XLOOKUP(EOMONTH(analysis_calculated[[#This Row],[DATE]],-12),analysis_calculated[DATE],analysis_calculated[New_Loan_Volume])-1,"")</f>
        <v>0.21552541480115872</v>
      </c>
      <c r="J85" s="5">
        <f>IFERROR(analysis_calculated[[#This Row],[Loan_Stock]]/_xlfn.XLOOKUP(EOMONTH(analysis_calculated[[#This Row],[DATE]],-12),analysis_calculated[DATE],analysis_calculated[Loan_Stock])-1,"")</f>
        <v>7.1541634530782883E-3</v>
      </c>
      <c r="K85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80810.333333333328</v>
      </c>
      <c r="L85" s="4">
        <f>_xlfn.IFNA(analysis_calculated[[#This Row],[ECB_DFR]]-_xlfn.XLOOKUP(EOMONTH(analysis_calculated[[#This Row],[DATE]],-1),analysis_calculated[DATE],analysis_calculated[ECB_DFR]),"")</f>
        <v>0</v>
      </c>
      <c r="M85" s="4" t="str">
        <f>IF(analysis_calculated[[#This Row],[ECB_DFR]]&lt;0,"Negative Rate",IF(analysis_calculated[[#This Row],[ECB_DFR]]=0,"Zero Rate","Positive Rate"))</f>
        <v>Positive Rate</v>
      </c>
    </row>
    <row r="86" spans="1:13" x14ac:dyDescent="0.35">
      <c r="A86" s="1">
        <v>46053</v>
      </c>
      <c r="B86" t="s">
        <v>90</v>
      </c>
      <c r="C86">
        <f>YEAR(analysis_calculated[[#This Row],[DATE]])</f>
        <v>2026</v>
      </c>
      <c r="D86" s="4">
        <v>3.39</v>
      </c>
      <c r="E86" s="4">
        <v>61933</v>
      </c>
      <c r="F86" s="4">
        <v>1363076</v>
      </c>
      <c r="G86" s="4">
        <f>_xlfn.XLOOKUP(analysis_calculated[[#This Row],[DATE]],Table1[DATE],Table1[Deposit facility - date of changes (raw data) - Level (FM.D.U2.EUR.4F.KR.DFR.LEV)],,-1)</f>
        <v>2</v>
      </c>
      <c r="H86" s="4">
        <f>analysis_calculated[[#This Row],[Corporate_Loan_Rate]]-analysis_calculated[[#This Row],[ECB_DFR]]</f>
        <v>1.3900000000000001</v>
      </c>
      <c r="I86" s="5">
        <f>IFERROR(analysis_calculated[[#This Row],[New_Loan_Volume]]/_xlfn.XLOOKUP(EOMONTH(analysis_calculated[[#This Row],[DATE]],-12),analysis_calculated[DATE],analysis_calculated[New_Loan_Volume])-1,"")</f>
        <v>0.17166423882404125</v>
      </c>
      <c r="J86" s="5">
        <f>IFERROR(analysis_calculated[[#This Row],[Loan_Stock]]/_xlfn.XLOOKUP(EOMONTH(analysis_calculated[[#This Row],[DATE]],-12),analysis_calculated[DATE],analysis_calculated[Loan_Stock])-1,"")</f>
        <v>-2.0821131545039062E-3</v>
      </c>
      <c r="K86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76523.333333333328</v>
      </c>
      <c r="L86" s="4">
        <f>_xlfn.IFNA(analysis_calculated[[#This Row],[ECB_DFR]]-_xlfn.XLOOKUP(EOMONTH(analysis_calculated[[#This Row],[DATE]],-1),analysis_calculated[DATE],analysis_calculated[ECB_DFR]),"")</f>
        <v>0</v>
      </c>
      <c r="M86" s="4" t="str">
        <f>IF(analysis_calculated[[#This Row],[ECB_DFR]]&lt;0,"Negative Rate",IF(analysis_calculated[[#This Row],[ECB_DFR]]=0,"Zero Rate","Positive Rate"))</f>
        <v>Positive Rate</v>
      </c>
    </row>
    <row r="87" spans="1:13" x14ac:dyDescent="0.35">
      <c r="A87" s="1">
        <v>46081</v>
      </c>
      <c r="B87" t="s">
        <v>91</v>
      </c>
      <c r="C87">
        <f>YEAR(analysis_calculated[[#This Row],[DATE]])</f>
        <v>2026</v>
      </c>
      <c r="D87" s="4">
        <v>3.28</v>
      </c>
      <c r="E87" s="4">
        <v>67661</v>
      </c>
      <c r="F87" s="4">
        <v>1368109</v>
      </c>
      <c r="G87" s="4">
        <f>_xlfn.XLOOKUP(analysis_calculated[[#This Row],[DATE]],Table1[DATE],Table1[Deposit facility - date of changes (raw data) - Level (FM.D.U2.EUR.4F.KR.DFR.LEV)],,-1)</f>
        <v>2</v>
      </c>
      <c r="H87" s="4">
        <f>analysis_calculated[[#This Row],[Corporate_Loan_Rate]]-analysis_calculated[[#This Row],[ECB_DFR]]</f>
        <v>1.2799999999999998</v>
      </c>
      <c r="I87" s="5">
        <f>IFERROR(analysis_calculated[[#This Row],[New_Loan_Volume]]/_xlfn.XLOOKUP(EOMONTH(analysis_calculated[[#This Row],[DATE]],-12),analysis_calculated[DATE],analysis_calculated[New_Loan_Volume])-1,"")</f>
        <v>0.24262626262626252</v>
      </c>
      <c r="J87" s="5">
        <f>IFERROR(analysis_calculated[[#This Row],[Loan_Stock]]/_xlfn.XLOOKUP(EOMONTH(analysis_calculated[[#This Row],[DATE]],-12),analysis_calculated[DATE],analysis_calculated[Loan_Stock])-1,"")</f>
        <v>-1.6404484378887974E-3</v>
      </c>
      <c r="K87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73967</v>
      </c>
      <c r="L87" s="4">
        <f>_xlfn.IFNA(analysis_calculated[[#This Row],[ECB_DFR]]-_xlfn.XLOOKUP(EOMONTH(analysis_calculated[[#This Row],[DATE]],-1),analysis_calculated[DATE],analysis_calculated[ECB_DFR]),"")</f>
        <v>0</v>
      </c>
      <c r="M87" s="4" t="str">
        <f>IF(analysis_calculated[[#This Row],[ECB_DFR]]&lt;0,"Negative Rate",IF(analysis_calculated[[#This Row],[ECB_DFR]]=0,"Zero Rate","Positive Rate"))</f>
        <v>Positive Rate</v>
      </c>
    </row>
    <row r="88" spans="1:13" x14ac:dyDescent="0.35">
      <c r="A88" s="1">
        <v>46112</v>
      </c>
      <c r="B88" t="s">
        <v>92</v>
      </c>
      <c r="C88">
        <f>YEAR(analysis_calculated[[#This Row],[DATE]])</f>
        <v>2026</v>
      </c>
      <c r="D88" s="4">
        <v>3.5</v>
      </c>
      <c r="E88" s="4">
        <v>86234</v>
      </c>
      <c r="F88" s="4">
        <v>1368280</v>
      </c>
      <c r="G88" s="4">
        <f>_xlfn.XLOOKUP(analysis_calculated[[#This Row],[DATE]],Table1[DATE],Table1[Deposit facility - date of changes (raw data) - Level (FM.D.U2.EUR.4F.KR.DFR.LEV)],,-1)</f>
        <v>2</v>
      </c>
      <c r="H88" s="4">
        <f>analysis_calculated[[#This Row],[Corporate_Loan_Rate]]-analysis_calculated[[#This Row],[ECB_DFR]]</f>
        <v>1.5</v>
      </c>
      <c r="I88" s="5">
        <f>IFERROR(analysis_calculated[[#This Row],[New_Loan_Volume]]/_xlfn.XLOOKUP(EOMONTH(analysis_calculated[[#This Row],[DATE]],-12),analysis_calculated[DATE],analysis_calculated[New_Loan_Volume])-1,"")</f>
        <v>5.6325873750744382E-3</v>
      </c>
      <c r="J88" s="5">
        <f>IFERROR(analysis_calculated[[#This Row],[Loan_Stock]]/_xlfn.XLOOKUP(EOMONTH(analysis_calculated[[#This Row],[DATE]],-12),analysis_calculated[DATE],analysis_calculated[Loan_Stock])-1,"")</f>
        <v>-8.7624499810146084E-4</v>
      </c>
      <c r="K88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71942.666666666672</v>
      </c>
      <c r="L88" s="4">
        <f>_xlfn.IFNA(analysis_calculated[[#This Row],[ECB_DFR]]-_xlfn.XLOOKUP(EOMONTH(analysis_calculated[[#This Row],[DATE]],-1),analysis_calculated[DATE],analysis_calculated[ECB_DFR]),"")</f>
        <v>0</v>
      </c>
      <c r="M88" s="4" t="str">
        <f>IF(analysis_calculated[[#This Row],[ECB_DFR]]&lt;0,"Negative Rate",IF(analysis_calculated[[#This Row],[ECB_DFR]]=0,"Zero Rate","Positive Rate"))</f>
        <v>Positive Rate</v>
      </c>
    </row>
    <row r="89" spans="1:13" x14ac:dyDescent="0.35">
      <c r="A89" s="1">
        <v>46142</v>
      </c>
      <c r="B89" t="s">
        <v>93</v>
      </c>
      <c r="C89">
        <f>YEAR(analysis_calculated[[#This Row],[DATE]])</f>
        <v>2026</v>
      </c>
      <c r="D89" s="4">
        <v>3.48</v>
      </c>
      <c r="E89" s="4">
        <v>69790</v>
      </c>
      <c r="F89" s="4">
        <v>1371233</v>
      </c>
      <c r="G89" s="4">
        <f>_xlfn.XLOOKUP(analysis_calculated[[#This Row],[DATE]],Table1[DATE],Table1[Deposit facility - date of changes (raw data) - Level (FM.D.U2.EUR.4F.KR.DFR.LEV)],,-1)</f>
        <v>2</v>
      </c>
      <c r="H89" s="4">
        <f>analysis_calculated[[#This Row],[Corporate_Loan_Rate]]-analysis_calculated[[#This Row],[ECB_DFR]]</f>
        <v>1.48</v>
      </c>
      <c r="I89" s="5">
        <f>IFERROR(analysis_calculated[[#This Row],[New_Loan_Volume]]/_xlfn.XLOOKUP(EOMONTH(analysis_calculated[[#This Row],[DATE]],-12),analysis_calculated[DATE],analysis_calculated[New_Loan_Volume])-1,"")</f>
        <v>-3.6861208098149301E-2</v>
      </c>
      <c r="J89" s="5">
        <f>IFERROR(analysis_calculated[[#This Row],[Loan_Stock]]/_xlfn.XLOOKUP(EOMONTH(analysis_calculated[[#This Row],[DATE]],-12),analysis_calculated[DATE],analysis_calculated[Loan_Stock])-1,"")</f>
        <v>5.8740772955601095E-4</v>
      </c>
      <c r="K89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74561.666666666672</v>
      </c>
      <c r="L89" s="4">
        <f>_xlfn.IFNA(analysis_calculated[[#This Row],[ECB_DFR]]-_xlfn.XLOOKUP(EOMONTH(analysis_calculated[[#This Row],[DATE]],-1),analysis_calculated[DATE],analysis_calculated[ECB_DFR]),"")</f>
        <v>0</v>
      </c>
      <c r="M89" s="4" t="str">
        <f>IF(analysis_calculated[[#This Row],[ECB_DFR]]&lt;0,"Negative Rate",IF(analysis_calculated[[#This Row],[ECB_DFR]]=0,"Zero Rate","Positive Rate"))</f>
        <v>Positive Rate</v>
      </c>
    </row>
    <row r="90" spans="1:13" x14ac:dyDescent="0.35">
      <c r="A90" s="1">
        <v>46173</v>
      </c>
      <c r="B90" t="s">
        <v>94</v>
      </c>
      <c r="C90">
        <f>YEAR(analysis_calculated[[#This Row],[DATE]])</f>
        <v>2026</v>
      </c>
      <c r="D90" s="4">
        <v>3.4</v>
      </c>
      <c r="E90" s="4">
        <v>72760</v>
      </c>
      <c r="F90" s="4">
        <v>1378482</v>
      </c>
      <c r="G90" s="4">
        <f>_xlfn.XLOOKUP(analysis_calculated[[#This Row],[DATE]],Table1[DATE],Table1[Deposit facility - date of changes (raw data) - Level (FM.D.U2.EUR.4F.KR.DFR.LEV)],,-1)</f>
        <v>2</v>
      </c>
      <c r="H90" s="4">
        <f>analysis_calculated[[#This Row],[Corporate_Loan_Rate]]-analysis_calculated[[#This Row],[ECB_DFR]]</f>
        <v>1.4</v>
      </c>
      <c r="I90" s="5">
        <f>IFERROR(analysis_calculated[[#This Row],[New_Loan_Volume]]/_xlfn.XLOOKUP(EOMONTH(analysis_calculated[[#This Row],[DATE]],-12),analysis_calculated[DATE],analysis_calculated[New_Loan_Volume])-1,"")</f>
        <v>3.8138313809979119E-2</v>
      </c>
      <c r="J90" s="5">
        <f>IFERROR(analysis_calculated[[#This Row],[Loan_Stock]]/_xlfn.XLOOKUP(EOMONTH(analysis_calculated[[#This Row],[DATE]],-12),analysis_calculated[DATE],analysis_calculated[Loan_Stock])-1,"")</f>
        <v>6.1501135719999045E-3</v>
      </c>
      <c r="K90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76261.333333333328</v>
      </c>
      <c r="L90" s="4">
        <f>_xlfn.IFNA(analysis_calculated[[#This Row],[ECB_DFR]]-_xlfn.XLOOKUP(EOMONTH(analysis_calculated[[#This Row],[DATE]],-1),analysis_calculated[DATE],analysis_calculated[ECB_DFR]),"")</f>
        <v>0</v>
      </c>
      <c r="M90" s="4" t="str">
        <f>IF(analysis_calculated[[#This Row],[ECB_DFR]]&lt;0,"Negative Rate",IF(analysis_calculated[[#This Row],[ECB_DFR]]=0,"Zero Rate","Positive Rate"))</f>
        <v>Positive Rate</v>
      </c>
    </row>
    <row r="91" spans="1:13" x14ac:dyDescent="0.35">
      <c r="A91" s="1">
        <v>46203</v>
      </c>
      <c r="B91" t="s">
        <v>95</v>
      </c>
      <c r="C91">
        <f>YEAR(analysis_calculated[[#This Row],[DATE]])</f>
        <v>2026</v>
      </c>
      <c r="D91" s="4">
        <v>3.72</v>
      </c>
      <c r="E91" s="4">
        <v>86130</v>
      </c>
      <c r="F91" s="4">
        <v>1380350</v>
      </c>
      <c r="G91" s="4">
        <f>_xlfn.XLOOKUP(analysis_calculated[[#This Row],[DATE]],Table1[DATE],Table1[Deposit facility - date of changes (raw data) - Level (FM.D.U2.EUR.4F.KR.DFR.LEV)],,-1)</f>
        <v>2.25</v>
      </c>
      <c r="H91" s="4">
        <f>analysis_calculated[[#This Row],[Corporate_Loan_Rate]]-analysis_calculated[[#This Row],[ECB_DFR]]</f>
        <v>1.4700000000000002</v>
      </c>
      <c r="I91" s="5">
        <f>IFERROR(analysis_calculated[[#This Row],[New_Loan_Volume]]/_xlfn.XLOOKUP(EOMONTH(analysis_calculated[[#This Row],[DATE]],-12),analysis_calculated[DATE],analysis_calculated[New_Loan_Volume])-1,"")</f>
        <v>7.2522601050980073E-2</v>
      </c>
      <c r="J91" s="5">
        <f>IFERROR(analysis_calculated[[#This Row],[Loan_Stock]]/_xlfn.XLOOKUP(EOMONTH(analysis_calculated[[#This Row],[DATE]],-12),analysis_calculated[DATE],analysis_calculated[Loan_Stock])-1,"")</f>
        <v>8.4365744643857266E-3</v>
      </c>
      <c r="K91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76226.666666666672</v>
      </c>
      <c r="L91" s="4">
        <f>_xlfn.IFNA(analysis_calculated[[#This Row],[ECB_DFR]]-_xlfn.XLOOKUP(EOMONTH(analysis_calculated[[#This Row],[DATE]],-1),analysis_calculated[DATE],analysis_calculated[ECB_DFR]),"")</f>
        <v>0.25</v>
      </c>
      <c r="M91" s="4" t="str">
        <f>IF(analysis_calculated[[#This Row],[ECB_DFR]]&lt;0,"Negative Rate",IF(analysis_calculated[[#This Row],[ECB_DFR]]=0,"Zero Rate","Positive Rate"))</f>
        <v>Positive Rate</v>
      </c>
    </row>
    <row r="92" spans="1:13" x14ac:dyDescent="0.35">
      <c r="A92" s="1">
        <v>46234</v>
      </c>
      <c r="B92" t="s">
        <v>96</v>
      </c>
      <c r="C92">
        <f>YEAR(analysis_calculated[[#This Row],[DATE]])</f>
        <v>2026</v>
      </c>
      <c r="D92" s="4">
        <v>3.69</v>
      </c>
      <c r="E92" s="4">
        <v>74496</v>
      </c>
      <c r="F92" s="4">
        <v>1380906</v>
      </c>
      <c r="G92" s="4">
        <f>_xlfn.XLOOKUP(analysis_calculated[[#This Row],[DATE]],Table1[DATE],Table1[Deposit facility - date of changes (raw data) - Level (FM.D.U2.EUR.4F.KR.DFR.LEV)],,-1)</f>
        <v>2.25</v>
      </c>
      <c r="H92" s="4">
        <f>analysis_calculated[[#This Row],[Corporate_Loan_Rate]]-analysis_calculated[[#This Row],[ECB_DFR]]</f>
        <v>1.44</v>
      </c>
      <c r="I92" s="5">
        <f>IFERROR(analysis_calculated[[#This Row],[New_Loan_Volume]]/_xlfn.XLOOKUP(EOMONTH(analysis_calculated[[#This Row],[DATE]],-12),analysis_calculated[DATE],analysis_calculated[New_Loan_Volume])-1,"")</f>
        <v>-2.2323713532028777E-2</v>
      </c>
      <c r="J92" s="5">
        <f>IFERROR(analysis_calculated[[#This Row],[Loan_Stock]]/_xlfn.XLOOKUP(EOMONTH(analysis_calculated[[#This Row],[DATE]],-12),analysis_calculated[DATE],analysis_calculated[Loan_Stock])-1,"")</f>
        <v>8.2071163386667756E-3</v>
      </c>
      <c r="K92" s="4">
        <f>IF(COUNTIFS(analysis_calculated[DATE],"&gt;"&amp;EOMONTH(analysis_calculated[[#This Row],[DATE]],-3),analysis_calculated[DATE],"&lt;="&amp;analysis_calculated[[#This Row],[DATE]])&gt;=3,AVERAGEIFS(analysis_calculated[New_Loan_Volume],analysis_calculated[DATE],"&gt;"&amp;EOMONTH(analysis_calculated[[#This Row],[DATE]],-3),analysis_calculated[DATE],"&lt;="&amp;analysis_calculated[[#This Row],[DATE]]),"")</f>
        <v>77795.333333333328</v>
      </c>
      <c r="L92" s="4">
        <f>_xlfn.IFNA(analysis_calculated[[#This Row],[ECB_DFR]]-_xlfn.XLOOKUP(EOMONTH(analysis_calculated[[#This Row],[DATE]],-1),analysis_calculated[DATE],analysis_calculated[ECB_DFR]),"")</f>
        <v>0</v>
      </c>
      <c r="M92" s="4" t="str">
        <f>IF(analysis_calculated[[#This Row],[ECB_DFR]]&lt;0,"Negative Rate",IF(analysis_calculated[[#This Row],[ECB_DFR]]=0,"Zero Rate","Positive Rate"))</f>
        <v>Positive Rate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DFDA7-67DF-40A4-83E3-A0C5E10D53FF}">
  <sheetPr codeName="Sheet2"/>
  <dimension ref="A1:Y92"/>
  <sheetViews>
    <sheetView zoomScale="85" zoomScaleNormal="85" workbookViewId="0">
      <selection activeCell="B1" sqref="B1:K1048576"/>
    </sheetView>
  </sheetViews>
  <sheetFormatPr defaultColWidth="12.6328125" defaultRowHeight="14.5" x14ac:dyDescent="0.35"/>
  <cols>
    <col min="1" max="1" width="12.6328125" style="1"/>
    <col min="2" max="11" width="0" hidden="1" customWidth="1"/>
    <col min="21" max="21" width="20.26953125" customWidth="1"/>
  </cols>
  <sheetData>
    <row r="1" spans="1:25" s="14" customFormat="1" ht="43.5" x14ac:dyDescent="0.35">
      <c r="A1" s="14" t="s">
        <v>0</v>
      </c>
      <c r="B1" s="14" t="s">
        <v>99</v>
      </c>
      <c r="C1" s="14" t="s">
        <v>116</v>
      </c>
      <c r="D1" s="14" t="s">
        <v>100</v>
      </c>
      <c r="E1" s="14" t="s">
        <v>101</v>
      </c>
      <c r="F1" s="14" t="s">
        <v>102</v>
      </c>
      <c r="G1" s="14" t="s">
        <v>103</v>
      </c>
      <c r="H1" s="14" t="s">
        <v>104</v>
      </c>
      <c r="I1" s="14" t="s">
        <v>105</v>
      </c>
      <c r="J1" s="14" t="s">
        <v>132</v>
      </c>
      <c r="K1" s="14" t="s">
        <v>106</v>
      </c>
      <c r="L1" s="14" t="s">
        <v>107</v>
      </c>
      <c r="M1" s="14" t="s">
        <v>145</v>
      </c>
      <c r="N1" s="14" t="s">
        <v>146</v>
      </c>
      <c r="O1" s="14" t="s">
        <v>147</v>
      </c>
      <c r="P1" s="14" t="s">
        <v>148</v>
      </c>
      <c r="Q1" s="14" t="s">
        <v>149</v>
      </c>
      <c r="R1" s="14" t="s">
        <v>166</v>
      </c>
      <c r="S1" s="14" t="s">
        <v>167</v>
      </c>
      <c r="U1" s="6" t="s">
        <v>108</v>
      </c>
      <c r="V1" s="6" t="s">
        <v>100</v>
      </c>
      <c r="W1" s="6" t="s">
        <v>101</v>
      </c>
      <c r="X1" s="14" t="s">
        <v>102</v>
      </c>
      <c r="Y1" s="14" t="s">
        <v>103</v>
      </c>
    </row>
    <row r="2" spans="1:25" x14ac:dyDescent="0.35">
      <c r="A2" s="1">
        <v>43496</v>
      </c>
      <c r="B2" t="s">
        <v>6</v>
      </c>
      <c r="C2">
        <f>YEAR(data_validation[[#This Row],[DATE]])</f>
        <v>2019</v>
      </c>
      <c r="D2" s="4">
        <v>1.17</v>
      </c>
      <c r="E2" s="4">
        <v>53666</v>
      </c>
      <c r="F2" s="4">
        <v>1049513</v>
      </c>
      <c r="G2" s="4">
        <f>_xlfn.XLOOKUP(data_validation[[#This Row],[DATE]],Table1[DATE],Table1[Deposit facility - date of changes (raw data) - Level (FM.D.U2.EUR.4F.KR.DFR.LEV)],,-1)</f>
        <v>-0.4</v>
      </c>
      <c r="H2" s="4">
        <f>data_validation[[#This Row],[Corporate_Loan_Rate]]-data_validation[[#This Row],[ECB_DFR]]</f>
        <v>1.5699999999999998</v>
      </c>
      <c r="I2" s="5" t="str">
        <f>IFERROR(data_validation[[#This Row],[New_Loan_Volume]]/_xlfn.XLOOKUP(EOMONTH(data_validation[[#This Row],[DATE]],-12),data_validation[DATE],data_validation[New_Loan_Volume])-1,"")</f>
        <v/>
      </c>
      <c r="J2" s="5" t="str">
        <f>IFERROR(data_validation[[#This Row],[Loan_Stock]]/_xlfn.XLOOKUP(EOMONTH(data_validation[[#This Row],[DATE]],-12),data_validation[DATE],data_validation[Loan_Stock])-1,"")</f>
        <v/>
      </c>
      <c r="K2" s="4" t="str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/>
      </c>
      <c r="L2">
        <f>COUNTIF(data_validation[DATE],data_validation[[#This Row],[DATE]])</f>
        <v>1</v>
      </c>
      <c r="M2">
        <f>COUNTBLANK(data_validation[[#This Row],[Corporate_Loan_Rate]])</f>
        <v>0</v>
      </c>
      <c r="N2">
        <f>COUNTBLANK(data_validation[[#This Row],[New_Loan_Volume]])</f>
        <v>0</v>
      </c>
      <c r="O2">
        <f>COUNTBLANK(data_validation[[#This Row],[Loan_Stock]])</f>
        <v>0</v>
      </c>
      <c r="P2">
        <f>COUNTBLANK(data_validation[[#This Row],[ECB_DFR]])</f>
        <v>0</v>
      </c>
      <c r="Q2">
        <f t="shared" ref="Q2:Q65" si="0">--(A3=EOMONTH(A2,1))</f>
        <v>1</v>
      </c>
      <c r="R2">
        <f>COUNTIF(data_validation[[#This Row],[New_Loan_Volume]],"&lt;0")</f>
        <v>0</v>
      </c>
      <c r="S2">
        <f>COUNTIF(data_validation[[#This Row],[Loan_Stock]],"&lt;0")</f>
        <v>0</v>
      </c>
      <c r="U2" s="7" t="s">
        <v>110</v>
      </c>
      <c r="V2" s="8">
        <f>COUNT(analysis_calculated[Corporate_Loan_Rate])</f>
        <v>91</v>
      </c>
      <c r="W2" s="8">
        <f>COUNT(analysis_calculated[New_Loan_Volume])</f>
        <v>91</v>
      </c>
      <c r="X2" s="8">
        <f>COUNT(analysis_calculated[Loan_Stock])</f>
        <v>91</v>
      </c>
      <c r="Y2" s="8">
        <f>COUNT(analysis_calculated[Lending_Spread])</f>
        <v>91</v>
      </c>
    </row>
    <row r="3" spans="1:25" x14ac:dyDescent="0.35">
      <c r="A3" s="1">
        <v>43524</v>
      </c>
      <c r="B3" t="s">
        <v>7</v>
      </c>
      <c r="C3">
        <f>YEAR(data_validation[[#This Row],[DATE]])</f>
        <v>2019</v>
      </c>
      <c r="D3" s="4">
        <v>1.18</v>
      </c>
      <c r="E3" s="4">
        <v>49224</v>
      </c>
      <c r="F3" s="4">
        <v>1057887</v>
      </c>
      <c r="G3" s="4">
        <f>_xlfn.XLOOKUP(data_validation[[#This Row],[DATE]],Table1[DATE],Table1[Deposit facility - date of changes (raw data) - Level (FM.D.U2.EUR.4F.KR.DFR.LEV)],,-1)</f>
        <v>-0.4</v>
      </c>
      <c r="H3" s="4">
        <f>data_validation[[#This Row],[Corporate_Loan_Rate]]-data_validation[[#This Row],[ECB_DFR]]</f>
        <v>1.58</v>
      </c>
      <c r="I3" s="5" t="str">
        <f>IFERROR(data_validation[[#This Row],[New_Loan_Volume]]/_xlfn.XLOOKUP(EOMONTH(data_validation[[#This Row],[DATE]],-12),data_validation[DATE],data_validation[New_Loan_Volume])-1,"")</f>
        <v/>
      </c>
      <c r="J3" s="5" t="str">
        <f>IFERROR(data_validation[[#This Row],[Loan_Stock]]/_xlfn.XLOOKUP(EOMONTH(data_validation[[#This Row],[DATE]],-12),data_validation[DATE],data_validation[Loan_Stock])-1,"")</f>
        <v/>
      </c>
      <c r="K3" s="4" t="str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/>
      </c>
      <c r="L3">
        <f>COUNTIF(data_validation[DATE],data_validation[[#This Row],[DATE]])</f>
        <v>1</v>
      </c>
      <c r="M3">
        <f>COUNTBLANK(data_validation[[#This Row],[Corporate_Loan_Rate]])</f>
        <v>0</v>
      </c>
      <c r="N3">
        <f>COUNTBLANK(data_validation[[#This Row],[New_Loan_Volume]])</f>
        <v>0</v>
      </c>
      <c r="O3">
        <f>COUNTBLANK(data_validation[[#This Row],[Loan_Stock]])</f>
        <v>0</v>
      </c>
      <c r="P3">
        <f>COUNTBLANK(data_validation[[#This Row],[ECB_DFR]])</f>
        <v>0</v>
      </c>
      <c r="Q3">
        <f t="shared" si="0"/>
        <v>1</v>
      </c>
      <c r="R3">
        <f>COUNTIF(data_validation[[#This Row],[New_Loan_Volume]],"&lt;0")</f>
        <v>0</v>
      </c>
      <c r="S3">
        <f>COUNTIF(data_validation[[#This Row],[Loan_Stock]],"&lt;0")</f>
        <v>0</v>
      </c>
      <c r="U3" s="7" t="s">
        <v>111</v>
      </c>
      <c r="V3" s="8">
        <f>GEOMEAN(analysis_calculated[Corporate_Loan_Rate])</f>
        <v>2.3409364604274852</v>
      </c>
      <c r="W3" s="8">
        <f>GEOMEAN(analysis_calculated[New_Loan_Volume])</f>
        <v>59893.395463167268</v>
      </c>
      <c r="X3" s="8">
        <f>GEOMEAN(analysis_calculated[Loan_Stock])</f>
        <v>1260038.2608278368</v>
      </c>
      <c r="Y3" s="8">
        <f>GEOMEAN(analysis_calculated[Lending_Spread])</f>
        <v>1.5210361572617053</v>
      </c>
    </row>
    <row r="4" spans="1:25" x14ac:dyDescent="0.35">
      <c r="A4" s="1">
        <v>43555</v>
      </c>
      <c r="B4" t="s">
        <v>8</v>
      </c>
      <c r="C4">
        <f>YEAR(data_validation[[#This Row],[DATE]])</f>
        <v>2019</v>
      </c>
      <c r="D4" s="4">
        <v>1.24</v>
      </c>
      <c r="E4" s="4">
        <v>55394</v>
      </c>
      <c r="F4" s="4">
        <v>1065117</v>
      </c>
      <c r="G4" s="4">
        <f>_xlfn.XLOOKUP(data_validation[[#This Row],[DATE]],Table1[DATE],Table1[Deposit facility - date of changes (raw data) - Level (FM.D.U2.EUR.4F.KR.DFR.LEV)],,-1)</f>
        <v>-0.4</v>
      </c>
      <c r="H4" s="4">
        <f>data_validation[[#This Row],[Corporate_Loan_Rate]]-data_validation[[#This Row],[ECB_DFR]]</f>
        <v>1.6400000000000001</v>
      </c>
      <c r="I4" s="5" t="str">
        <f>IFERROR(data_validation[[#This Row],[New_Loan_Volume]]/_xlfn.XLOOKUP(EOMONTH(data_validation[[#This Row],[DATE]],-12),data_validation[DATE],data_validation[New_Loan_Volume])-1,"")</f>
        <v/>
      </c>
      <c r="J4" s="5" t="str">
        <f>IFERROR(data_validation[[#This Row],[Loan_Stock]]/_xlfn.XLOOKUP(EOMONTH(data_validation[[#This Row],[DATE]],-12),data_validation[DATE],data_validation[Loan_Stock])-1,"")</f>
        <v/>
      </c>
      <c r="K4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52761.333333333336</v>
      </c>
      <c r="L4">
        <f>COUNTIF(data_validation[DATE],data_validation[[#This Row],[DATE]])</f>
        <v>1</v>
      </c>
      <c r="M4">
        <f>COUNTBLANK(data_validation[[#This Row],[Corporate_Loan_Rate]])</f>
        <v>0</v>
      </c>
      <c r="N4">
        <f>COUNTBLANK(data_validation[[#This Row],[New_Loan_Volume]])</f>
        <v>0</v>
      </c>
      <c r="O4">
        <f>COUNTBLANK(data_validation[[#This Row],[Loan_Stock]])</f>
        <v>0</v>
      </c>
      <c r="P4">
        <f>COUNTBLANK(data_validation[[#This Row],[ECB_DFR]])</f>
        <v>0</v>
      </c>
      <c r="Q4">
        <f t="shared" si="0"/>
        <v>1</v>
      </c>
      <c r="R4">
        <f>COUNTIF(data_validation[[#This Row],[New_Loan_Volume]],"&lt;0")</f>
        <v>0</v>
      </c>
      <c r="S4">
        <f>COUNTIF(data_validation[[#This Row],[Loan_Stock]],"&lt;0")</f>
        <v>0</v>
      </c>
      <c r="U4" s="7" t="s">
        <v>112</v>
      </c>
      <c r="V4" s="8">
        <f>MEDIAN(analysis_calculated[Corporate_Loan_Rate])</f>
        <v>2.97</v>
      </c>
      <c r="W4" s="8">
        <f>MEDIAN(analysis_calculated[New_Loan_Volume])</f>
        <v>58264</v>
      </c>
      <c r="X4" s="8">
        <f>MEDIAN(analysis_calculated[Loan_Stock])</f>
        <v>1337897</v>
      </c>
      <c r="Y4" s="8">
        <f>MEDIAN(analysis_calculated[Lending_Spread])</f>
        <v>1.54</v>
      </c>
    </row>
    <row r="5" spans="1:25" x14ac:dyDescent="0.35">
      <c r="A5" s="1">
        <v>43585</v>
      </c>
      <c r="B5" t="s">
        <v>9</v>
      </c>
      <c r="C5">
        <f>YEAR(data_validation[[#This Row],[DATE]])</f>
        <v>2019</v>
      </c>
      <c r="D5" s="4">
        <v>1.1499999999999999</v>
      </c>
      <c r="E5" s="4">
        <v>60033</v>
      </c>
      <c r="F5" s="4">
        <v>1070264</v>
      </c>
      <c r="G5" s="4">
        <f>_xlfn.XLOOKUP(data_validation[[#This Row],[DATE]],Table1[DATE],Table1[Deposit facility - date of changes (raw data) - Level (FM.D.U2.EUR.4F.KR.DFR.LEV)],,-1)</f>
        <v>-0.4</v>
      </c>
      <c r="H5" s="4">
        <f>data_validation[[#This Row],[Corporate_Loan_Rate]]-data_validation[[#This Row],[ECB_DFR]]</f>
        <v>1.5499999999999998</v>
      </c>
      <c r="I5" s="5" t="str">
        <f>IFERROR(data_validation[[#This Row],[New_Loan_Volume]]/_xlfn.XLOOKUP(EOMONTH(data_validation[[#This Row],[DATE]],-12),data_validation[DATE],data_validation[New_Loan_Volume])-1,"")</f>
        <v/>
      </c>
      <c r="J5" s="5" t="str">
        <f>IFERROR(data_validation[[#This Row],[Loan_Stock]]/_xlfn.XLOOKUP(EOMONTH(data_validation[[#This Row],[DATE]],-12),data_validation[DATE],data_validation[Loan_Stock])-1,"")</f>
        <v/>
      </c>
      <c r="K5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54883.666666666664</v>
      </c>
      <c r="L5">
        <f>COUNTIF(data_validation[DATE],data_validation[[#This Row],[DATE]])</f>
        <v>1</v>
      </c>
      <c r="M5">
        <f>COUNTBLANK(data_validation[[#This Row],[Corporate_Loan_Rate]])</f>
        <v>0</v>
      </c>
      <c r="N5">
        <f>COUNTBLANK(data_validation[[#This Row],[New_Loan_Volume]])</f>
        <v>0</v>
      </c>
      <c r="O5">
        <f>COUNTBLANK(data_validation[[#This Row],[Loan_Stock]])</f>
        <v>0</v>
      </c>
      <c r="P5">
        <f>COUNTBLANK(data_validation[[#This Row],[ECB_DFR]])</f>
        <v>0</v>
      </c>
      <c r="Q5">
        <f t="shared" si="0"/>
        <v>1</v>
      </c>
      <c r="R5">
        <f>COUNTIF(data_validation[[#This Row],[New_Loan_Volume]],"&lt;0")</f>
        <v>0</v>
      </c>
      <c r="S5">
        <f>COUNTIF(data_validation[[#This Row],[Loan_Stock]],"&lt;0")</f>
        <v>0</v>
      </c>
      <c r="U5" s="7" t="s">
        <v>113</v>
      </c>
      <c r="V5" s="8">
        <f>MIN(analysis_calculated[Corporate_Loan_Rate])</f>
        <v>0.94</v>
      </c>
      <c r="W5" s="8">
        <f>MIN(analysis_calculated[New_Loan_Volume])</f>
        <v>37482</v>
      </c>
      <c r="X5" s="8">
        <f>MIN(analysis_calculated[Loan_Stock])</f>
        <v>1049513</v>
      </c>
      <c r="Y5" s="8">
        <f>MIN(analysis_calculated[Lending_Spread])</f>
        <v>0.95000000000000018</v>
      </c>
    </row>
    <row r="6" spans="1:25" x14ac:dyDescent="0.35">
      <c r="A6" s="1">
        <v>43616</v>
      </c>
      <c r="B6" t="s">
        <v>10</v>
      </c>
      <c r="C6">
        <f>YEAR(data_validation[[#This Row],[DATE]])</f>
        <v>2019</v>
      </c>
      <c r="D6" s="4">
        <v>1.1299999999999999</v>
      </c>
      <c r="E6" s="4">
        <v>56251</v>
      </c>
      <c r="F6" s="4">
        <v>1081484</v>
      </c>
      <c r="G6" s="4">
        <f>_xlfn.XLOOKUP(data_validation[[#This Row],[DATE]],Table1[DATE],Table1[Deposit facility - date of changes (raw data) - Level (FM.D.U2.EUR.4F.KR.DFR.LEV)],,-1)</f>
        <v>-0.4</v>
      </c>
      <c r="H6" s="4">
        <f>data_validation[[#This Row],[Corporate_Loan_Rate]]-data_validation[[#This Row],[ECB_DFR]]</f>
        <v>1.5299999999999998</v>
      </c>
      <c r="I6" s="5" t="str">
        <f>IFERROR(data_validation[[#This Row],[New_Loan_Volume]]/_xlfn.XLOOKUP(EOMONTH(data_validation[[#This Row],[DATE]],-12),data_validation[DATE],data_validation[New_Loan_Volume])-1,"")</f>
        <v/>
      </c>
      <c r="J6" s="5" t="str">
        <f>IFERROR(data_validation[[#This Row],[Loan_Stock]]/_xlfn.XLOOKUP(EOMONTH(data_validation[[#This Row],[DATE]],-12),data_validation[DATE],data_validation[Loan_Stock])-1,"")</f>
        <v/>
      </c>
      <c r="K6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57226</v>
      </c>
      <c r="L6">
        <f>COUNTIF(data_validation[DATE],data_validation[[#This Row],[DATE]])</f>
        <v>1</v>
      </c>
      <c r="M6">
        <f>COUNTBLANK(data_validation[[#This Row],[Corporate_Loan_Rate]])</f>
        <v>0</v>
      </c>
      <c r="N6">
        <f>COUNTBLANK(data_validation[[#This Row],[New_Loan_Volume]])</f>
        <v>0</v>
      </c>
      <c r="O6">
        <f>COUNTBLANK(data_validation[[#This Row],[Loan_Stock]])</f>
        <v>0</v>
      </c>
      <c r="P6">
        <f>COUNTBLANK(data_validation[[#This Row],[ECB_DFR]])</f>
        <v>0</v>
      </c>
      <c r="Q6">
        <f t="shared" si="0"/>
        <v>1</v>
      </c>
      <c r="R6">
        <f>COUNTIF(data_validation[[#This Row],[New_Loan_Volume]],"&lt;0")</f>
        <v>0</v>
      </c>
      <c r="S6">
        <f>COUNTIF(data_validation[[#This Row],[Loan_Stock]],"&lt;0")</f>
        <v>0</v>
      </c>
      <c r="U6" s="7" t="s">
        <v>114</v>
      </c>
      <c r="V6" s="8">
        <f>MAX(analysis_calculated[Corporate_Loan_Rate])</f>
        <v>5.45</v>
      </c>
      <c r="W6" s="8">
        <f>MAX(analysis_calculated[New_Loan_Volume])</f>
        <v>94842</v>
      </c>
      <c r="X6" s="8">
        <f>MAX(analysis_calculated[Loan_Stock])</f>
        <v>1380906</v>
      </c>
      <c r="Y6" s="8">
        <f>MAX(analysis_calculated[Lending_Spread])</f>
        <v>2.87</v>
      </c>
    </row>
    <row r="7" spans="1:25" x14ac:dyDescent="0.35">
      <c r="A7" s="1">
        <v>43646</v>
      </c>
      <c r="B7" t="s">
        <v>11</v>
      </c>
      <c r="C7">
        <f>YEAR(data_validation[[#This Row],[DATE]])</f>
        <v>2019</v>
      </c>
      <c r="D7" s="4">
        <v>1.1399999999999999</v>
      </c>
      <c r="E7" s="4">
        <v>58984</v>
      </c>
      <c r="F7" s="4">
        <v>1090351</v>
      </c>
      <c r="G7" s="4">
        <f>_xlfn.XLOOKUP(data_validation[[#This Row],[DATE]],Table1[DATE],Table1[Deposit facility - date of changes (raw data) - Level (FM.D.U2.EUR.4F.KR.DFR.LEV)],,-1)</f>
        <v>-0.4</v>
      </c>
      <c r="H7" s="4">
        <f>data_validation[[#This Row],[Corporate_Loan_Rate]]-data_validation[[#This Row],[ECB_DFR]]</f>
        <v>1.54</v>
      </c>
      <c r="I7" s="5" t="str">
        <f>IFERROR(data_validation[[#This Row],[New_Loan_Volume]]/_xlfn.XLOOKUP(EOMONTH(data_validation[[#This Row],[DATE]],-12),data_validation[DATE],data_validation[New_Loan_Volume])-1,"")</f>
        <v/>
      </c>
      <c r="J7" s="5" t="str">
        <f>IFERROR(data_validation[[#This Row],[Loan_Stock]]/_xlfn.XLOOKUP(EOMONTH(data_validation[[#This Row],[DATE]],-12),data_validation[DATE],data_validation[Loan_Stock])-1,"")</f>
        <v/>
      </c>
      <c r="K7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58422.666666666664</v>
      </c>
      <c r="L7">
        <f>COUNTIF(data_validation[DATE],data_validation[[#This Row],[DATE]])</f>
        <v>1</v>
      </c>
      <c r="M7">
        <f>COUNTBLANK(data_validation[[#This Row],[Corporate_Loan_Rate]])</f>
        <v>0</v>
      </c>
      <c r="N7">
        <f>COUNTBLANK(data_validation[[#This Row],[New_Loan_Volume]])</f>
        <v>0</v>
      </c>
      <c r="O7">
        <f>COUNTBLANK(data_validation[[#This Row],[Loan_Stock]])</f>
        <v>0</v>
      </c>
      <c r="P7">
        <f>COUNTBLANK(data_validation[[#This Row],[ECB_DFR]])</f>
        <v>0</v>
      </c>
      <c r="Q7">
        <f t="shared" si="0"/>
        <v>1</v>
      </c>
      <c r="R7">
        <f>COUNTIF(data_validation[[#This Row],[New_Loan_Volume]],"&lt;0")</f>
        <v>0</v>
      </c>
      <c r="S7">
        <f>COUNTIF(data_validation[[#This Row],[Loan_Stock]],"&lt;0")</f>
        <v>0</v>
      </c>
      <c r="U7" s="7" t="s">
        <v>115</v>
      </c>
      <c r="V7" s="8">
        <f>_xlfn.STDEV.S(analysis_calculated[Corporate_Loan_Rate])</f>
        <v>1.5277334197134689</v>
      </c>
      <c r="W7" s="8">
        <f>_xlfn.STDEV.S(analysis_calculated[New_Loan_Volume])</f>
        <v>12620.448065572948</v>
      </c>
      <c r="X7" s="8">
        <f>_xlfn.STDEV.S(analysis_calculated[Loan_Stock])</f>
        <v>111047.15273195875</v>
      </c>
      <c r="Y7" s="8">
        <f>_xlfn.STDEV.S(analysis_calculated[Lending_Spread])</f>
        <v>0.32428683846551248</v>
      </c>
    </row>
    <row r="8" spans="1:25" x14ac:dyDescent="0.35">
      <c r="A8" s="1">
        <v>43677</v>
      </c>
      <c r="B8" t="s">
        <v>12</v>
      </c>
      <c r="C8">
        <f>YEAR(data_validation[[#This Row],[DATE]])</f>
        <v>2019</v>
      </c>
      <c r="D8" s="4">
        <v>1.1399999999999999</v>
      </c>
      <c r="E8" s="4">
        <v>62595</v>
      </c>
      <c r="F8" s="4">
        <v>1091139</v>
      </c>
      <c r="G8" s="4">
        <f>_xlfn.XLOOKUP(data_validation[[#This Row],[DATE]],Table1[DATE],Table1[Deposit facility - date of changes (raw data) - Level (FM.D.U2.EUR.4F.KR.DFR.LEV)],,-1)</f>
        <v>-0.4</v>
      </c>
      <c r="H8" s="4">
        <f>data_validation[[#This Row],[Corporate_Loan_Rate]]-data_validation[[#This Row],[ECB_DFR]]</f>
        <v>1.54</v>
      </c>
      <c r="I8" s="5" t="str">
        <f>IFERROR(data_validation[[#This Row],[New_Loan_Volume]]/_xlfn.XLOOKUP(EOMONTH(data_validation[[#This Row],[DATE]],-12),data_validation[DATE],data_validation[New_Loan_Volume])-1,"")</f>
        <v/>
      </c>
      <c r="J8" s="5" t="str">
        <f>IFERROR(data_validation[[#This Row],[Loan_Stock]]/_xlfn.XLOOKUP(EOMONTH(data_validation[[#This Row],[DATE]],-12),data_validation[DATE],data_validation[Loan_Stock])-1,"")</f>
        <v/>
      </c>
      <c r="K8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59276.666666666664</v>
      </c>
      <c r="L8">
        <f>COUNTIF(data_validation[DATE],data_validation[[#This Row],[DATE]])</f>
        <v>1</v>
      </c>
      <c r="M8">
        <f>COUNTBLANK(data_validation[[#This Row],[Corporate_Loan_Rate]])</f>
        <v>0</v>
      </c>
      <c r="N8">
        <f>COUNTBLANK(data_validation[[#This Row],[New_Loan_Volume]])</f>
        <v>0</v>
      </c>
      <c r="O8">
        <f>COUNTBLANK(data_validation[[#This Row],[Loan_Stock]])</f>
        <v>0</v>
      </c>
      <c r="P8">
        <f>COUNTBLANK(data_validation[[#This Row],[ECB_DFR]])</f>
        <v>0</v>
      </c>
      <c r="Q8">
        <f t="shared" si="0"/>
        <v>1</v>
      </c>
      <c r="R8">
        <f>COUNTIF(data_validation[[#This Row],[New_Loan_Volume]],"&lt;0")</f>
        <v>0</v>
      </c>
      <c r="S8">
        <f>COUNTIF(data_validation[[#This Row],[Loan_Stock]],"&lt;0")</f>
        <v>0</v>
      </c>
    </row>
    <row r="9" spans="1:25" x14ac:dyDescent="0.35">
      <c r="A9" s="1">
        <v>43708</v>
      </c>
      <c r="B9" t="s">
        <v>13</v>
      </c>
      <c r="C9">
        <f>YEAR(data_validation[[#This Row],[DATE]])</f>
        <v>2019</v>
      </c>
      <c r="D9" s="4">
        <v>1.06</v>
      </c>
      <c r="E9" s="4">
        <v>50710</v>
      </c>
      <c r="F9" s="4">
        <v>1096648</v>
      </c>
      <c r="G9" s="4">
        <f>_xlfn.XLOOKUP(data_validation[[#This Row],[DATE]],Table1[DATE],Table1[Deposit facility - date of changes (raw data) - Level (FM.D.U2.EUR.4F.KR.DFR.LEV)],,-1)</f>
        <v>-0.4</v>
      </c>
      <c r="H9" s="4">
        <f>data_validation[[#This Row],[Corporate_Loan_Rate]]-data_validation[[#This Row],[ECB_DFR]]</f>
        <v>1.46</v>
      </c>
      <c r="I9" s="5" t="str">
        <f>IFERROR(data_validation[[#This Row],[New_Loan_Volume]]/_xlfn.XLOOKUP(EOMONTH(data_validation[[#This Row],[DATE]],-12),data_validation[DATE],data_validation[New_Loan_Volume])-1,"")</f>
        <v/>
      </c>
      <c r="J9" s="5" t="str">
        <f>IFERROR(data_validation[[#This Row],[Loan_Stock]]/_xlfn.XLOOKUP(EOMONTH(data_validation[[#This Row],[DATE]],-12),data_validation[DATE],data_validation[Loan_Stock])-1,"")</f>
        <v/>
      </c>
      <c r="K9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57429.666666666664</v>
      </c>
      <c r="L9">
        <f>COUNTIF(data_validation[DATE],data_validation[[#This Row],[DATE]])</f>
        <v>1</v>
      </c>
      <c r="M9">
        <f>COUNTBLANK(data_validation[[#This Row],[Corporate_Loan_Rate]])</f>
        <v>0</v>
      </c>
      <c r="N9">
        <f>COUNTBLANK(data_validation[[#This Row],[New_Loan_Volume]])</f>
        <v>0</v>
      </c>
      <c r="O9">
        <f>COUNTBLANK(data_validation[[#This Row],[Loan_Stock]])</f>
        <v>0</v>
      </c>
      <c r="P9">
        <f>COUNTBLANK(data_validation[[#This Row],[ECB_DFR]])</f>
        <v>0</v>
      </c>
      <c r="Q9">
        <f t="shared" si="0"/>
        <v>1</v>
      </c>
      <c r="R9">
        <f>COUNTIF(data_validation[[#This Row],[New_Loan_Volume]],"&lt;0")</f>
        <v>0</v>
      </c>
      <c r="S9">
        <f>COUNTIF(data_validation[[#This Row],[Loan_Stock]],"&lt;0")</f>
        <v>0</v>
      </c>
    </row>
    <row r="10" spans="1:25" ht="43.5" x14ac:dyDescent="0.35">
      <c r="A10" s="1">
        <v>43738</v>
      </c>
      <c r="B10" t="s">
        <v>14</v>
      </c>
      <c r="C10">
        <f>YEAR(data_validation[[#This Row],[DATE]])</f>
        <v>2019</v>
      </c>
      <c r="D10" s="4">
        <v>1.1399999999999999</v>
      </c>
      <c r="E10" s="4">
        <v>58264</v>
      </c>
      <c r="F10" s="4">
        <v>1099876</v>
      </c>
      <c r="G10" s="4">
        <f>_xlfn.XLOOKUP(data_validation[[#This Row],[DATE]],Table1[DATE],Table1[Deposit facility - date of changes (raw data) - Level (FM.D.U2.EUR.4F.KR.DFR.LEV)],,-1)</f>
        <v>-0.5</v>
      </c>
      <c r="H10" s="4">
        <f>data_validation[[#This Row],[Corporate_Loan_Rate]]-data_validation[[#This Row],[ECB_DFR]]</f>
        <v>1.64</v>
      </c>
      <c r="I10" s="5" t="str">
        <f>IFERROR(data_validation[[#This Row],[New_Loan_Volume]]/_xlfn.XLOOKUP(EOMONTH(data_validation[[#This Row],[DATE]],-12),data_validation[DATE],data_validation[New_Loan_Volume])-1,"")</f>
        <v/>
      </c>
      <c r="J10" s="5" t="str">
        <f>IFERROR(data_validation[[#This Row],[Loan_Stock]]/_xlfn.XLOOKUP(EOMONTH(data_validation[[#This Row],[DATE]],-12),data_validation[DATE],data_validation[Loan_Stock])-1,"")</f>
        <v/>
      </c>
      <c r="K10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57189.666666666664</v>
      </c>
      <c r="L10">
        <f>COUNTIF(data_validation[DATE],data_validation[[#This Row],[DATE]])</f>
        <v>1</v>
      </c>
      <c r="M10">
        <f>COUNTBLANK(data_validation[[#This Row],[Corporate_Loan_Rate]])</f>
        <v>0</v>
      </c>
      <c r="N10">
        <f>COUNTBLANK(data_validation[[#This Row],[New_Loan_Volume]])</f>
        <v>0</v>
      </c>
      <c r="O10">
        <f>COUNTBLANK(data_validation[[#This Row],[Loan_Stock]])</f>
        <v>0</v>
      </c>
      <c r="P10">
        <f>COUNTBLANK(data_validation[[#This Row],[ECB_DFR]])</f>
        <v>0</v>
      </c>
      <c r="Q10">
        <f t="shared" si="0"/>
        <v>1</v>
      </c>
      <c r="R10">
        <f>COUNTIF(data_validation[[#This Row],[New_Loan_Volume]],"&lt;0")</f>
        <v>0</v>
      </c>
      <c r="S10">
        <f>COUNTIF(data_validation[[#This Row],[Loan_Stock]],"&lt;0")</f>
        <v>0</v>
      </c>
      <c r="U10" s="11" t="s">
        <v>150</v>
      </c>
      <c r="V10" s="11">
        <f>CORREL(data_validation[Corporate_Loan_Rate],data_validation[ECB_DFR])</f>
        <v>0.9906107708102686</v>
      </c>
    </row>
    <row r="11" spans="1:25" x14ac:dyDescent="0.35">
      <c r="A11" s="1">
        <v>43769</v>
      </c>
      <c r="B11" t="s">
        <v>15</v>
      </c>
      <c r="C11">
        <f>YEAR(data_validation[[#This Row],[DATE]])</f>
        <v>2019</v>
      </c>
      <c r="D11" s="4">
        <v>1.18</v>
      </c>
      <c r="E11" s="4">
        <v>57227</v>
      </c>
      <c r="F11" s="4">
        <v>1101812</v>
      </c>
      <c r="G11" s="4">
        <f>_xlfn.XLOOKUP(data_validation[[#This Row],[DATE]],Table1[DATE],Table1[Deposit facility - date of changes (raw data) - Level (FM.D.U2.EUR.4F.KR.DFR.LEV)],,-1)</f>
        <v>-0.5</v>
      </c>
      <c r="H11" s="4">
        <f>data_validation[[#This Row],[Corporate_Loan_Rate]]-data_validation[[#This Row],[ECB_DFR]]</f>
        <v>1.68</v>
      </c>
      <c r="I11" s="5" t="str">
        <f>IFERROR(data_validation[[#This Row],[New_Loan_Volume]]/_xlfn.XLOOKUP(EOMONTH(data_validation[[#This Row],[DATE]],-12),data_validation[DATE],data_validation[New_Loan_Volume])-1,"")</f>
        <v/>
      </c>
      <c r="J11" s="5" t="str">
        <f>IFERROR(data_validation[[#This Row],[Loan_Stock]]/_xlfn.XLOOKUP(EOMONTH(data_validation[[#This Row],[DATE]],-12),data_validation[DATE],data_validation[Loan_Stock])-1,"")</f>
        <v/>
      </c>
      <c r="K11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55400.333333333336</v>
      </c>
      <c r="L11">
        <f>COUNTIF(data_validation[DATE],data_validation[[#This Row],[DATE]])</f>
        <v>1</v>
      </c>
      <c r="M11">
        <f>COUNTBLANK(data_validation[[#This Row],[Corporate_Loan_Rate]])</f>
        <v>0</v>
      </c>
      <c r="N11">
        <f>COUNTBLANK(data_validation[[#This Row],[New_Loan_Volume]])</f>
        <v>0</v>
      </c>
      <c r="O11">
        <f>COUNTBLANK(data_validation[[#This Row],[Loan_Stock]])</f>
        <v>0</v>
      </c>
      <c r="P11">
        <f>COUNTBLANK(data_validation[[#This Row],[ECB_DFR]])</f>
        <v>0</v>
      </c>
      <c r="Q11">
        <f t="shared" si="0"/>
        <v>1</v>
      </c>
      <c r="R11">
        <f>COUNTIF(data_validation[[#This Row],[New_Loan_Volume]],"&lt;0")</f>
        <v>0</v>
      </c>
      <c r="S11">
        <f>COUNTIF(data_validation[[#This Row],[Loan_Stock]],"&lt;0")</f>
        <v>0</v>
      </c>
    </row>
    <row r="12" spans="1:25" x14ac:dyDescent="0.35">
      <c r="A12" s="1">
        <v>43799</v>
      </c>
      <c r="B12" t="s">
        <v>16</v>
      </c>
      <c r="C12">
        <f>YEAR(data_validation[[#This Row],[DATE]])</f>
        <v>2019</v>
      </c>
      <c r="D12" s="4">
        <v>1.25</v>
      </c>
      <c r="E12" s="4">
        <v>53394</v>
      </c>
      <c r="F12" s="4">
        <v>1110423</v>
      </c>
      <c r="G12" s="4">
        <f>_xlfn.XLOOKUP(data_validation[[#This Row],[DATE]],Table1[DATE],Table1[Deposit facility - date of changes (raw data) - Level (FM.D.U2.EUR.4F.KR.DFR.LEV)],,-1)</f>
        <v>-0.5</v>
      </c>
      <c r="H12" s="4">
        <f>data_validation[[#This Row],[Corporate_Loan_Rate]]-data_validation[[#This Row],[ECB_DFR]]</f>
        <v>1.75</v>
      </c>
      <c r="I12" s="5" t="str">
        <f>IFERROR(data_validation[[#This Row],[New_Loan_Volume]]/_xlfn.XLOOKUP(EOMONTH(data_validation[[#This Row],[DATE]],-12),data_validation[DATE],data_validation[New_Loan_Volume])-1,"")</f>
        <v/>
      </c>
      <c r="J12" s="5" t="str">
        <f>IFERROR(data_validation[[#This Row],[Loan_Stock]]/_xlfn.XLOOKUP(EOMONTH(data_validation[[#This Row],[DATE]],-12),data_validation[DATE],data_validation[Loan_Stock])-1,"")</f>
        <v/>
      </c>
      <c r="K12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56295</v>
      </c>
      <c r="L12">
        <f>COUNTIF(data_validation[DATE],data_validation[[#This Row],[DATE]])</f>
        <v>1</v>
      </c>
      <c r="M12">
        <f>COUNTBLANK(data_validation[[#This Row],[Corporate_Loan_Rate]])</f>
        <v>0</v>
      </c>
      <c r="N12">
        <f>COUNTBLANK(data_validation[[#This Row],[New_Loan_Volume]])</f>
        <v>0</v>
      </c>
      <c r="O12">
        <f>COUNTBLANK(data_validation[[#This Row],[Loan_Stock]])</f>
        <v>0</v>
      </c>
      <c r="P12">
        <f>COUNTBLANK(data_validation[[#This Row],[ECB_DFR]])</f>
        <v>0</v>
      </c>
      <c r="Q12">
        <f t="shared" si="0"/>
        <v>1</v>
      </c>
      <c r="R12">
        <f>COUNTIF(data_validation[[#This Row],[New_Loan_Volume]],"&lt;0")</f>
        <v>0</v>
      </c>
      <c r="S12">
        <f>COUNTIF(data_validation[[#This Row],[Loan_Stock]],"&lt;0")</f>
        <v>0</v>
      </c>
    </row>
    <row r="13" spans="1:25" x14ac:dyDescent="0.35">
      <c r="A13" s="1">
        <v>43830</v>
      </c>
      <c r="B13" t="s">
        <v>17</v>
      </c>
      <c r="C13">
        <f>YEAR(data_validation[[#This Row],[DATE]])</f>
        <v>2019</v>
      </c>
      <c r="D13" s="4">
        <v>1.25</v>
      </c>
      <c r="E13" s="4">
        <v>75436</v>
      </c>
      <c r="F13" s="4">
        <v>1105549</v>
      </c>
      <c r="G13" s="4">
        <f>_xlfn.XLOOKUP(data_validation[[#This Row],[DATE]],Table1[DATE],Table1[Deposit facility - date of changes (raw data) - Level (FM.D.U2.EUR.4F.KR.DFR.LEV)],,-1)</f>
        <v>-0.5</v>
      </c>
      <c r="H13" s="4">
        <f>data_validation[[#This Row],[Corporate_Loan_Rate]]-data_validation[[#This Row],[ECB_DFR]]</f>
        <v>1.75</v>
      </c>
      <c r="I13" s="5" t="str">
        <f>IFERROR(data_validation[[#This Row],[New_Loan_Volume]]/_xlfn.XLOOKUP(EOMONTH(data_validation[[#This Row],[DATE]],-12),data_validation[DATE],data_validation[New_Loan_Volume])-1,"")</f>
        <v/>
      </c>
      <c r="J13" s="5" t="str">
        <f>IFERROR(data_validation[[#This Row],[Loan_Stock]]/_xlfn.XLOOKUP(EOMONTH(data_validation[[#This Row],[DATE]],-12),data_validation[DATE],data_validation[Loan_Stock])-1,"")</f>
        <v/>
      </c>
      <c r="K13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62019</v>
      </c>
      <c r="L13">
        <f>COUNTIF(data_validation[DATE],data_validation[[#This Row],[DATE]])</f>
        <v>1</v>
      </c>
      <c r="M13">
        <f>COUNTBLANK(data_validation[[#This Row],[Corporate_Loan_Rate]])</f>
        <v>0</v>
      </c>
      <c r="N13">
        <f>COUNTBLANK(data_validation[[#This Row],[New_Loan_Volume]])</f>
        <v>0</v>
      </c>
      <c r="O13">
        <f>COUNTBLANK(data_validation[[#This Row],[Loan_Stock]])</f>
        <v>0</v>
      </c>
      <c r="P13">
        <f>COUNTBLANK(data_validation[[#This Row],[ECB_DFR]])</f>
        <v>0</v>
      </c>
      <c r="Q13">
        <f t="shared" si="0"/>
        <v>1</v>
      </c>
      <c r="R13">
        <f>COUNTIF(data_validation[[#This Row],[New_Loan_Volume]],"&lt;0")</f>
        <v>0</v>
      </c>
      <c r="S13">
        <f>COUNTIF(data_validation[[#This Row],[Loan_Stock]],"&lt;0")</f>
        <v>0</v>
      </c>
    </row>
    <row r="14" spans="1:25" x14ac:dyDescent="0.35">
      <c r="A14" s="1">
        <v>43861</v>
      </c>
      <c r="B14" t="s">
        <v>18</v>
      </c>
      <c r="C14">
        <f>YEAR(data_validation[[#This Row],[DATE]])</f>
        <v>2020</v>
      </c>
      <c r="D14" s="4">
        <v>1.19</v>
      </c>
      <c r="E14" s="4">
        <v>50439</v>
      </c>
      <c r="F14" s="4">
        <v>1106828</v>
      </c>
      <c r="G14" s="4">
        <f>_xlfn.XLOOKUP(data_validation[[#This Row],[DATE]],Table1[DATE],Table1[Deposit facility - date of changes (raw data) - Level (FM.D.U2.EUR.4F.KR.DFR.LEV)],,-1)</f>
        <v>-0.5</v>
      </c>
      <c r="H14" s="4">
        <f>data_validation[[#This Row],[Corporate_Loan_Rate]]-data_validation[[#This Row],[ECB_DFR]]</f>
        <v>1.69</v>
      </c>
      <c r="I14" s="5">
        <f>IFERROR(data_validation[[#This Row],[New_Loan_Volume]]/_xlfn.XLOOKUP(EOMONTH(data_validation[[#This Row],[DATE]],-12),data_validation[DATE],data_validation[New_Loan_Volume])-1,"")</f>
        <v>-6.0131181753810603E-2</v>
      </c>
      <c r="J14" s="5">
        <f>IFERROR(data_validation[[#This Row],[Loan_Stock]]/_xlfn.XLOOKUP(EOMONTH(data_validation[[#This Row],[DATE]],-12),data_validation[DATE],data_validation[Loan_Stock])-1,"")</f>
        <v>5.4611043407752025E-2</v>
      </c>
      <c r="K14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59756.333333333336</v>
      </c>
      <c r="L14">
        <f>COUNTIF(data_validation[DATE],data_validation[[#This Row],[DATE]])</f>
        <v>1</v>
      </c>
      <c r="M14">
        <f>COUNTBLANK(data_validation[[#This Row],[Corporate_Loan_Rate]])</f>
        <v>0</v>
      </c>
      <c r="N14">
        <f>COUNTBLANK(data_validation[[#This Row],[New_Loan_Volume]])</f>
        <v>0</v>
      </c>
      <c r="O14">
        <f>COUNTBLANK(data_validation[[#This Row],[Loan_Stock]])</f>
        <v>0</v>
      </c>
      <c r="P14">
        <f>COUNTBLANK(data_validation[[#This Row],[ECB_DFR]])</f>
        <v>0</v>
      </c>
      <c r="Q14">
        <f t="shared" si="0"/>
        <v>1</v>
      </c>
      <c r="R14">
        <f>COUNTIF(data_validation[[#This Row],[New_Loan_Volume]],"&lt;0")</f>
        <v>0</v>
      </c>
      <c r="S14">
        <f>COUNTIF(data_validation[[#This Row],[Loan_Stock]],"&lt;0")</f>
        <v>0</v>
      </c>
    </row>
    <row r="15" spans="1:25" x14ac:dyDescent="0.35">
      <c r="A15" s="1">
        <v>43890</v>
      </c>
      <c r="B15" t="s">
        <v>19</v>
      </c>
      <c r="C15">
        <f>YEAR(data_validation[[#This Row],[DATE]])</f>
        <v>2020</v>
      </c>
      <c r="D15" s="4">
        <v>1.1299999999999999</v>
      </c>
      <c r="E15" s="4">
        <v>48433</v>
      </c>
      <c r="F15" s="4">
        <v>1114542</v>
      </c>
      <c r="G15" s="4">
        <f>_xlfn.XLOOKUP(data_validation[[#This Row],[DATE]],Table1[DATE],Table1[Deposit facility - date of changes (raw data) - Level (FM.D.U2.EUR.4F.KR.DFR.LEV)],,-1)</f>
        <v>-0.5</v>
      </c>
      <c r="H15" s="4">
        <f>data_validation[[#This Row],[Corporate_Loan_Rate]]-data_validation[[#This Row],[ECB_DFR]]</f>
        <v>1.63</v>
      </c>
      <c r="I15" s="5">
        <f>IFERROR(data_validation[[#This Row],[New_Loan_Volume]]/_xlfn.XLOOKUP(EOMONTH(data_validation[[#This Row],[DATE]],-12),data_validation[DATE],data_validation[New_Loan_Volume])-1,"")</f>
        <v>-1.6069397042093314E-2</v>
      </c>
      <c r="J15" s="5">
        <f>IFERROR(data_validation[[#This Row],[Loan_Stock]]/_xlfn.XLOOKUP(EOMONTH(data_validation[[#This Row],[DATE]],-12),data_validation[DATE],data_validation[Loan_Stock])-1,"")</f>
        <v>5.3554869281879913E-2</v>
      </c>
      <c r="K15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58102.666666666664</v>
      </c>
      <c r="L15">
        <f>COUNTIF(data_validation[DATE],data_validation[[#This Row],[DATE]])</f>
        <v>1</v>
      </c>
      <c r="M15">
        <f>COUNTBLANK(data_validation[[#This Row],[Corporate_Loan_Rate]])</f>
        <v>0</v>
      </c>
      <c r="N15">
        <f>COUNTBLANK(data_validation[[#This Row],[New_Loan_Volume]])</f>
        <v>0</v>
      </c>
      <c r="O15">
        <f>COUNTBLANK(data_validation[[#This Row],[Loan_Stock]])</f>
        <v>0</v>
      </c>
      <c r="P15">
        <f>COUNTBLANK(data_validation[[#This Row],[ECB_DFR]])</f>
        <v>0</v>
      </c>
      <c r="Q15">
        <f t="shared" si="0"/>
        <v>1</v>
      </c>
      <c r="R15">
        <f>COUNTIF(data_validation[[#This Row],[New_Loan_Volume]],"&lt;0")</f>
        <v>0</v>
      </c>
      <c r="S15">
        <f>COUNTIF(data_validation[[#This Row],[Loan_Stock]],"&lt;0")</f>
        <v>0</v>
      </c>
    </row>
    <row r="16" spans="1:25" x14ac:dyDescent="0.35">
      <c r="A16" s="1">
        <v>43921</v>
      </c>
      <c r="B16" t="s">
        <v>20</v>
      </c>
      <c r="C16">
        <f>YEAR(data_validation[[#This Row],[DATE]])</f>
        <v>2020</v>
      </c>
      <c r="D16" s="4">
        <v>1.1200000000000001</v>
      </c>
      <c r="E16" s="4">
        <v>71850</v>
      </c>
      <c r="F16" s="4">
        <v>1137604</v>
      </c>
      <c r="G16" s="4">
        <f>_xlfn.XLOOKUP(data_validation[[#This Row],[DATE]],Table1[DATE],Table1[Deposit facility - date of changes (raw data) - Level (FM.D.U2.EUR.4F.KR.DFR.LEV)],,-1)</f>
        <v>-0.5</v>
      </c>
      <c r="H16" s="4">
        <f>data_validation[[#This Row],[Corporate_Loan_Rate]]-data_validation[[#This Row],[ECB_DFR]]</f>
        <v>1.62</v>
      </c>
      <c r="I16" s="5">
        <f>IFERROR(data_validation[[#This Row],[New_Loan_Volume]]/_xlfn.XLOOKUP(EOMONTH(data_validation[[#This Row],[DATE]],-12),data_validation[DATE],data_validation[New_Loan_Volume])-1,"")</f>
        <v>0.29707188504170134</v>
      </c>
      <c r="J16" s="5">
        <f>IFERROR(data_validation[[#This Row],[Loan_Stock]]/_xlfn.XLOOKUP(EOMONTH(data_validation[[#This Row],[DATE]],-12),data_validation[DATE],data_validation[Loan_Stock])-1,"")</f>
        <v>6.8055434285622995E-2</v>
      </c>
      <c r="K16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56907.333333333336</v>
      </c>
      <c r="L16">
        <f>COUNTIF(data_validation[DATE],data_validation[[#This Row],[DATE]])</f>
        <v>1</v>
      </c>
      <c r="M16">
        <f>COUNTBLANK(data_validation[[#This Row],[Corporate_Loan_Rate]])</f>
        <v>0</v>
      </c>
      <c r="N16">
        <f>COUNTBLANK(data_validation[[#This Row],[New_Loan_Volume]])</f>
        <v>0</v>
      </c>
      <c r="O16">
        <f>COUNTBLANK(data_validation[[#This Row],[Loan_Stock]])</f>
        <v>0</v>
      </c>
      <c r="P16">
        <f>COUNTBLANK(data_validation[[#This Row],[ECB_DFR]])</f>
        <v>0</v>
      </c>
      <c r="Q16">
        <f t="shared" si="0"/>
        <v>1</v>
      </c>
      <c r="R16">
        <f>COUNTIF(data_validation[[#This Row],[New_Loan_Volume]],"&lt;0")</f>
        <v>0</v>
      </c>
      <c r="S16">
        <f>COUNTIF(data_validation[[#This Row],[Loan_Stock]],"&lt;0")</f>
        <v>0</v>
      </c>
    </row>
    <row r="17" spans="1:19" x14ac:dyDescent="0.35">
      <c r="A17" s="1">
        <v>43951</v>
      </c>
      <c r="B17" t="s">
        <v>21</v>
      </c>
      <c r="C17">
        <f>YEAR(data_validation[[#This Row],[DATE]])</f>
        <v>2020</v>
      </c>
      <c r="D17" s="4">
        <v>1.27</v>
      </c>
      <c r="E17" s="4">
        <v>57567</v>
      </c>
      <c r="F17" s="4">
        <v>1150026</v>
      </c>
      <c r="G17" s="4">
        <f>_xlfn.XLOOKUP(data_validation[[#This Row],[DATE]],Table1[DATE],Table1[Deposit facility - date of changes (raw data) - Level (FM.D.U2.EUR.4F.KR.DFR.LEV)],,-1)</f>
        <v>-0.5</v>
      </c>
      <c r="H17" s="4">
        <f>data_validation[[#This Row],[Corporate_Loan_Rate]]-data_validation[[#This Row],[ECB_DFR]]</f>
        <v>1.77</v>
      </c>
      <c r="I17" s="5">
        <f>IFERROR(data_validation[[#This Row],[New_Loan_Volume]]/_xlfn.XLOOKUP(EOMONTH(data_validation[[#This Row],[DATE]],-12),data_validation[DATE],data_validation[New_Loan_Volume])-1,"")</f>
        <v>-4.1077407425915702E-2</v>
      </c>
      <c r="J17" s="5">
        <f>IFERROR(data_validation[[#This Row],[Loan_Stock]]/_xlfn.XLOOKUP(EOMONTH(data_validation[[#This Row],[DATE]],-12),data_validation[DATE],data_validation[Loan_Stock])-1,"")</f>
        <v>7.4525537624361871E-2</v>
      </c>
      <c r="K17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59283.333333333336</v>
      </c>
      <c r="L17">
        <f>COUNTIF(data_validation[DATE],data_validation[[#This Row],[DATE]])</f>
        <v>1</v>
      </c>
      <c r="M17">
        <f>COUNTBLANK(data_validation[[#This Row],[Corporate_Loan_Rate]])</f>
        <v>0</v>
      </c>
      <c r="N17">
        <f>COUNTBLANK(data_validation[[#This Row],[New_Loan_Volume]])</f>
        <v>0</v>
      </c>
      <c r="O17">
        <f>COUNTBLANK(data_validation[[#This Row],[Loan_Stock]])</f>
        <v>0</v>
      </c>
      <c r="P17">
        <f>COUNTBLANK(data_validation[[#This Row],[ECB_DFR]])</f>
        <v>0</v>
      </c>
      <c r="Q17">
        <f t="shared" si="0"/>
        <v>1</v>
      </c>
      <c r="R17">
        <f>COUNTIF(data_validation[[#This Row],[New_Loan_Volume]],"&lt;0")</f>
        <v>0</v>
      </c>
      <c r="S17">
        <f>COUNTIF(data_validation[[#This Row],[Loan_Stock]],"&lt;0")</f>
        <v>0</v>
      </c>
    </row>
    <row r="18" spans="1:19" x14ac:dyDescent="0.35">
      <c r="A18" s="1">
        <v>43982</v>
      </c>
      <c r="B18" t="s">
        <v>22</v>
      </c>
      <c r="C18">
        <f>YEAR(data_validation[[#This Row],[DATE]])</f>
        <v>2020</v>
      </c>
      <c r="D18" s="4">
        <v>1.33</v>
      </c>
      <c r="E18" s="4">
        <v>51330</v>
      </c>
      <c r="F18" s="4">
        <v>1159576</v>
      </c>
      <c r="G18" s="4">
        <f>_xlfn.XLOOKUP(data_validation[[#This Row],[DATE]],Table1[DATE],Table1[Deposit facility - date of changes (raw data) - Level (FM.D.U2.EUR.4F.KR.DFR.LEV)],,-1)</f>
        <v>-0.5</v>
      </c>
      <c r="H18" s="4">
        <f>data_validation[[#This Row],[Corporate_Loan_Rate]]-data_validation[[#This Row],[ECB_DFR]]</f>
        <v>1.83</v>
      </c>
      <c r="I18" s="5">
        <f>IFERROR(data_validation[[#This Row],[New_Loan_Volume]]/_xlfn.XLOOKUP(EOMONTH(data_validation[[#This Row],[DATE]],-12),data_validation[DATE],data_validation[New_Loan_Volume])-1,"")</f>
        <v>-8.7482889193081004E-2</v>
      </c>
      <c r="J18" s="5">
        <f>IFERROR(data_validation[[#This Row],[Loan_Stock]]/_xlfn.XLOOKUP(EOMONTH(data_validation[[#This Row],[DATE]],-12),data_validation[DATE],data_validation[Loan_Stock])-1,"")</f>
        <v>7.2208188008329399E-2</v>
      </c>
      <c r="K18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60249</v>
      </c>
      <c r="L18">
        <f>COUNTIF(data_validation[DATE],data_validation[[#This Row],[DATE]])</f>
        <v>1</v>
      </c>
      <c r="M18">
        <f>COUNTBLANK(data_validation[[#This Row],[Corporate_Loan_Rate]])</f>
        <v>0</v>
      </c>
      <c r="N18">
        <f>COUNTBLANK(data_validation[[#This Row],[New_Loan_Volume]])</f>
        <v>0</v>
      </c>
      <c r="O18">
        <f>COUNTBLANK(data_validation[[#This Row],[Loan_Stock]])</f>
        <v>0</v>
      </c>
      <c r="P18">
        <f>COUNTBLANK(data_validation[[#This Row],[ECB_DFR]])</f>
        <v>0</v>
      </c>
      <c r="Q18">
        <f t="shared" si="0"/>
        <v>1</v>
      </c>
      <c r="R18">
        <f>COUNTIF(data_validation[[#This Row],[New_Loan_Volume]],"&lt;0")</f>
        <v>0</v>
      </c>
      <c r="S18">
        <f>COUNTIF(data_validation[[#This Row],[Loan_Stock]],"&lt;0")</f>
        <v>0</v>
      </c>
    </row>
    <row r="19" spans="1:19" x14ac:dyDescent="0.35">
      <c r="A19" s="1">
        <v>44012</v>
      </c>
      <c r="B19" t="s">
        <v>23</v>
      </c>
      <c r="C19">
        <f>YEAR(data_validation[[#This Row],[DATE]])</f>
        <v>2020</v>
      </c>
      <c r="D19" s="4">
        <v>1.32</v>
      </c>
      <c r="E19" s="4">
        <v>56293</v>
      </c>
      <c r="F19" s="4">
        <v>1156499</v>
      </c>
      <c r="G19" s="4">
        <f>_xlfn.XLOOKUP(data_validation[[#This Row],[DATE]],Table1[DATE],Table1[Deposit facility - date of changes (raw data) - Level (FM.D.U2.EUR.4F.KR.DFR.LEV)],,-1)</f>
        <v>-0.5</v>
      </c>
      <c r="H19" s="4">
        <f>data_validation[[#This Row],[Corporate_Loan_Rate]]-data_validation[[#This Row],[ECB_DFR]]</f>
        <v>1.82</v>
      </c>
      <c r="I19" s="5">
        <f>IFERROR(data_validation[[#This Row],[New_Loan_Volume]]/_xlfn.XLOOKUP(EOMONTH(data_validation[[#This Row],[DATE]],-12),data_validation[DATE],data_validation[New_Loan_Volume])-1,"")</f>
        <v>-4.5622541706225372E-2</v>
      </c>
      <c r="J19" s="5">
        <f>IFERROR(data_validation[[#This Row],[Loan_Stock]]/_xlfn.XLOOKUP(EOMONTH(data_validation[[#This Row],[DATE]],-12),data_validation[DATE],data_validation[Loan_Stock])-1,"")</f>
        <v>6.0666702740677092E-2</v>
      </c>
      <c r="K19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55063.333333333336</v>
      </c>
      <c r="L19">
        <f>COUNTIF(data_validation[DATE],data_validation[[#This Row],[DATE]])</f>
        <v>1</v>
      </c>
      <c r="M19">
        <f>COUNTBLANK(data_validation[[#This Row],[Corporate_Loan_Rate]])</f>
        <v>0</v>
      </c>
      <c r="N19">
        <f>COUNTBLANK(data_validation[[#This Row],[New_Loan_Volume]])</f>
        <v>0</v>
      </c>
      <c r="O19">
        <f>COUNTBLANK(data_validation[[#This Row],[Loan_Stock]])</f>
        <v>0</v>
      </c>
      <c r="P19">
        <f>COUNTBLANK(data_validation[[#This Row],[ECB_DFR]])</f>
        <v>0</v>
      </c>
      <c r="Q19">
        <f t="shared" si="0"/>
        <v>1</v>
      </c>
      <c r="R19">
        <f>COUNTIF(data_validation[[#This Row],[New_Loan_Volume]],"&lt;0")</f>
        <v>0</v>
      </c>
      <c r="S19">
        <f>COUNTIF(data_validation[[#This Row],[Loan_Stock]],"&lt;0")</f>
        <v>0</v>
      </c>
    </row>
    <row r="20" spans="1:19" x14ac:dyDescent="0.35">
      <c r="A20" s="1">
        <v>44043</v>
      </c>
      <c r="B20" t="s">
        <v>24</v>
      </c>
      <c r="C20">
        <f>YEAR(data_validation[[#This Row],[DATE]])</f>
        <v>2020</v>
      </c>
      <c r="D20" s="4">
        <v>1.43</v>
      </c>
      <c r="E20" s="4">
        <v>48992</v>
      </c>
      <c r="F20" s="4">
        <v>1156046</v>
      </c>
      <c r="G20" s="4">
        <f>_xlfn.XLOOKUP(data_validation[[#This Row],[DATE]],Table1[DATE],Table1[Deposit facility - date of changes (raw data) - Level (FM.D.U2.EUR.4F.KR.DFR.LEV)],,-1)</f>
        <v>-0.5</v>
      </c>
      <c r="H20" s="4">
        <f>data_validation[[#This Row],[Corporate_Loan_Rate]]-data_validation[[#This Row],[ECB_DFR]]</f>
        <v>1.93</v>
      </c>
      <c r="I20" s="5">
        <f>IFERROR(data_validation[[#This Row],[New_Loan_Volume]]/_xlfn.XLOOKUP(EOMONTH(data_validation[[#This Row],[DATE]],-12),data_validation[DATE],data_validation[New_Loan_Volume])-1,"")</f>
        <v>-0.21731767713076122</v>
      </c>
      <c r="J20" s="5">
        <f>IFERROR(data_validation[[#This Row],[Loan_Stock]]/_xlfn.XLOOKUP(EOMONTH(data_validation[[#This Row],[DATE]],-12),data_validation[DATE],data_validation[Loan_Stock])-1,"")</f>
        <v>5.9485546754354912E-2</v>
      </c>
      <c r="K20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52205</v>
      </c>
      <c r="L20">
        <f>COUNTIF(data_validation[DATE],data_validation[[#This Row],[DATE]])</f>
        <v>1</v>
      </c>
      <c r="M20">
        <f>COUNTBLANK(data_validation[[#This Row],[Corporate_Loan_Rate]])</f>
        <v>0</v>
      </c>
      <c r="N20">
        <f>COUNTBLANK(data_validation[[#This Row],[New_Loan_Volume]])</f>
        <v>0</v>
      </c>
      <c r="O20">
        <f>COUNTBLANK(data_validation[[#This Row],[Loan_Stock]])</f>
        <v>0</v>
      </c>
      <c r="P20">
        <f>COUNTBLANK(data_validation[[#This Row],[ECB_DFR]])</f>
        <v>0</v>
      </c>
      <c r="Q20">
        <f t="shared" si="0"/>
        <v>1</v>
      </c>
      <c r="R20">
        <f>COUNTIF(data_validation[[#This Row],[New_Loan_Volume]],"&lt;0")</f>
        <v>0</v>
      </c>
      <c r="S20">
        <f>COUNTIF(data_validation[[#This Row],[Loan_Stock]],"&lt;0")</f>
        <v>0</v>
      </c>
    </row>
    <row r="21" spans="1:19" x14ac:dyDescent="0.35">
      <c r="A21" s="1">
        <v>44074</v>
      </c>
      <c r="B21" t="s">
        <v>25</v>
      </c>
      <c r="C21">
        <f>YEAR(data_validation[[#This Row],[DATE]])</f>
        <v>2020</v>
      </c>
      <c r="D21" s="4">
        <v>1.58</v>
      </c>
      <c r="E21" s="4">
        <v>39287</v>
      </c>
      <c r="F21" s="4">
        <v>1162103</v>
      </c>
      <c r="G21" s="4">
        <f>_xlfn.XLOOKUP(data_validation[[#This Row],[DATE]],Table1[DATE],Table1[Deposit facility - date of changes (raw data) - Level (FM.D.U2.EUR.4F.KR.DFR.LEV)],,-1)</f>
        <v>-0.5</v>
      </c>
      <c r="H21" s="4">
        <f>data_validation[[#This Row],[Corporate_Loan_Rate]]-data_validation[[#This Row],[ECB_DFR]]</f>
        <v>2.08</v>
      </c>
      <c r="I21" s="5">
        <f>IFERROR(data_validation[[#This Row],[New_Loan_Volume]]/_xlfn.XLOOKUP(EOMONTH(data_validation[[#This Row],[DATE]],-12),data_validation[DATE],data_validation[New_Loan_Volume])-1,"")</f>
        <v>-0.22526128968645243</v>
      </c>
      <c r="J21" s="5">
        <f>IFERROR(data_validation[[#This Row],[Loan_Stock]]/_xlfn.XLOOKUP(EOMONTH(data_validation[[#This Row],[DATE]],-12),data_validation[DATE],data_validation[Loan_Stock])-1,"")</f>
        <v>5.9686426273517057E-2</v>
      </c>
      <c r="K21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48190.666666666664</v>
      </c>
      <c r="L21">
        <f>COUNTIF(data_validation[DATE],data_validation[[#This Row],[DATE]])</f>
        <v>1</v>
      </c>
      <c r="M21">
        <f>COUNTBLANK(data_validation[[#This Row],[Corporate_Loan_Rate]])</f>
        <v>0</v>
      </c>
      <c r="N21">
        <f>COUNTBLANK(data_validation[[#This Row],[New_Loan_Volume]])</f>
        <v>0</v>
      </c>
      <c r="O21">
        <f>COUNTBLANK(data_validation[[#This Row],[Loan_Stock]])</f>
        <v>0</v>
      </c>
      <c r="P21">
        <f>COUNTBLANK(data_validation[[#This Row],[ECB_DFR]])</f>
        <v>0</v>
      </c>
      <c r="Q21">
        <f t="shared" si="0"/>
        <v>1</v>
      </c>
      <c r="R21">
        <f>COUNTIF(data_validation[[#This Row],[New_Loan_Volume]],"&lt;0")</f>
        <v>0</v>
      </c>
      <c r="S21">
        <f>COUNTIF(data_validation[[#This Row],[Loan_Stock]],"&lt;0")</f>
        <v>0</v>
      </c>
    </row>
    <row r="22" spans="1:19" x14ac:dyDescent="0.35">
      <c r="A22" s="1">
        <v>44104</v>
      </c>
      <c r="B22" t="s">
        <v>26</v>
      </c>
      <c r="C22">
        <f>YEAR(data_validation[[#This Row],[DATE]])</f>
        <v>2020</v>
      </c>
      <c r="D22" s="4">
        <v>1.31</v>
      </c>
      <c r="E22" s="4">
        <v>49712</v>
      </c>
      <c r="F22" s="4">
        <v>1149868</v>
      </c>
      <c r="G22" s="4">
        <f>_xlfn.XLOOKUP(data_validation[[#This Row],[DATE]],Table1[DATE],Table1[Deposit facility - date of changes (raw data) - Level (FM.D.U2.EUR.4F.KR.DFR.LEV)],,-1)</f>
        <v>-0.5</v>
      </c>
      <c r="H22" s="4">
        <f>data_validation[[#This Row],[Corporate_Loan_Rate]]-data_validation[[#This Row],[ECB_DFR]]</f>
        <v>1.81</v>
      </c>
      <c r="I22" s="5">
        <f>IFERROR(data_validation[[#This Row],[New_Loan_Volume]]/_xlfn.XLOOKUP(EOMONTH(data_validation[[#This Row],[DATE]],-12),data_validation[DATE],data_validation[New_Loan_Volume])-1,"")</f>
        <v>-0.14678017300562951</v>
      </c>
      <c r="J22" s="5">
        <f>IFERROR(data_validation[[#This Row],[Loan_Stock]]/_xlfn.XLOOKUP(EOMONTH(data_validation[[#This Row],[DATE]],-12),data_validation[DATE],data_validation[Loan_Stock])-1,"")</f>
        <v>4.545239645196375E-2</v>
      </c>
      <c r="K22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45997</v>
      </c>
      <c r="L22">
        <f>COUNTIF(data_validation[DATE],data_validation[[#This Row],[DATE]])</f>
        <v>1</v>
      </c>
      <c r="M22">
        <f>COUNTBLANK(data_validation[[#This Row],[Corporate_Loan_Rate]])</f>
        <v>0</v>
      </c>
      <c r="N22">
        <f>COUNTBLANK(data_validation[[#This Row],[New_Loan_Volume]])</f>
        <v>0</v>
      </c>
      <c r="O22">
        <f>COUNTBLANK(data_validation[[#This Row],[Loan_Stock]])</f>
        <v>0</v>
      </c>
      <c r="P22">
        <f>COUNTBLANK(data_validation[[#This Row],[ECB_DFR]])</f>
        <v>0</v>
      </c>
      <c r="Q22">
        <f t="shared" si="0"/>
        <v>1</v>
      </c>
      <c r="R22">
        <f>COUNTIF(data_validation[[#This Row],[New_Loan_Volume]],"&lt;0")</f>
        <v>0</v>
      </c>
      <c r="S22">
        <f>COUNTIF(data_validation[[#This Row],[Loan_Stock]],"&lt;0")</f>
        <v>0</v>
      </c>
    </row>
    <row r="23" spans="1:19" x14ac:dyDescent="0.35">
      <c r="A23" s="1">
        <v>44135</v>
      </c>
      <c r="B23" t="s">
        <v>27</v>
      </c>
      <c r="C23">
        <f>YEAR(data_validation[[#This Row],[DATE]])</f>
        <v>2020</v>
      </c>
      <c r="D23" s="4">
        <v>1.37</v>
      </c>
      <c r="E23" s="4">
        <v>46031</v>
      </c>
      <c r="F23" s="4">
        <v>1153142</v>
      </c>
      <c r="G23" s="4">
        <f>_xlfn.XLOOKUP(data_validation[[#This Row],[DATE]],Table1[DATE],Table1[Deposit facility - date of changes (raw data) - Level (FM.D.U2.EUR.4F.KR.DFR.LEV)],,-1)</f>
        <v>-0.5</v>
      </c>
      <c r="H23" s="4">
        <f>data_validation[[#This Row],[Corporate_Loan_Rate]]-data_validation[[#This Row],[ECB_DFR]]</f>
        <v>1.87</v>
      </c>
      <c r="I23" s="5">
        <f>IFERROR(data_validation[[#This Row],[New_Loan_Volume]]/_xlfn.XLOOKUP(EOMONTH(data_validation[[#This Row],[DATE]],-12),data_validation[DATE],data_validation[New_Loan_Volume])-1,"")</f>
        <v>-0.19564191727680991</v>
      </c>
      <c r="J23" s="5">
        <f>IFERROR(data_validation[[#This Row],[Loan_Stock]]/_xlfn.XLOOKUP(EOMONTH(data_validation[[#This Row],[DATE]],-12),data_validation[DATE],data_validation[Loan_Stock])-1,"")</f>
        <v>4.6586895041985432E-2</v>
      </c>
      <c r="K23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45010</v>
      </c>
      <c r="L23">
        <f>COUNTIF(data_validation[DATE],data_validation[[#This Row],[DATE]])</f>
        <v>1</v>
      </c>
      <c r="M23">
        <f>COUNTBLANK(data_validation[[#This Row],[Corporate_Loan_Rate]])</f>
        <v>0</v>
      </c>
      <c r="N23">
        <f>COUNTBLANK(data_validation[[#This Row],[New_Loan_Volume]])</f>
        <v>0</v>
      </c>
      <c r="O23">
        <f>COUNTBLANK(data_validation[[#This Row],[Loan_Stock]])</f>
        <v>0</v>
      </c>
      <c r="P23">
        <f>COUNTBLANK(data_validation[[#This Row],[ECB_DFR]])</f>
        <v>0</v>
      </c>
      <c r="Q23">
        <f t="shared" si="0"/>
        <v>1</v>
      </c>
      <c r="R23">
        <f>COUNTIF(data_validation[[#This Row],[New_Loan_Volume]],"&lt;0")</f>
        <v>0</v>
      </c>
      <c r="S23">
        <f>COUNTIF(data_validation[[#This Row],[Loan_Stock]],"&lt;0")</f>
        <v>0</v>
      </c>
    </row>
    <row r="24" spans="1:19" x14ac:dyDescent="0.35">
      <c r="A24" s="1">
        <v>44165</v>
      </c>
      <c r="B24" t="s">
        <v>28</v>
      </c>
      <c r="C24">
        <f>YEAR(data_validation[[#This Row],[DATE]])</f>
        <v>2020</v>
      </c>
      <c r="D24" s="4">
        <v>1.38</v>
      </c>
      <c r="E24" s="4">
        <v>44795</v>
      </c>
      <c r="F24" s="4">
        <v>1154178</v>
      </c>
      <c r="G24" s="4">
        <f>_xlfn.XLOOKUP(data_validation[[#This Row],[DATE]],Table1[DATE],Table1[Deposit facility - date of changes (raw data) - Level (FM.D.U2.EUR.4F.KR.DFR.LEV)],,-1)</f>
        <v>-0.5</v>
      </c>
      <c r="H24" s="4">
        <f>data_validation[[#This Row],[Corporate_Loan_Rate]]-data_validation[[#This Row],[ECB_DFR]]</f>
        <v>1.88</v>
      </c>
      <c r="I24" s="5">
        <f>IFERROR(data_validation[[#This Row],[New_Loan_Volume]]/_xlfn.XLOOKUP(EOMONTH(data_validation[[#This Row],[DATE]],-12),data_validation[DATE],data_validation[New_Loan_Volume])-1,"")</f>
        <v>-0.16104805783421361</v>
      </c>
      <c r="J24" s="5">
        <f>IFERROR(data_validation[[#This Row],[Loan_Stock]]/_xlfn.XLOOKUP(EOMONTH(data_validation[[#This Row],[DATE]],-12),data_validation[DATE],data_validation[Loan_Stock])-1,"")</f>
        <v>3.9403902837026994E-2</v>
      </c>
      <c r="K24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46846</v>
      </c>
      <c r="L24">
        <f>COUNTIF(data_validation[DATE],data_validation[[#This Row],[DATE]])</f>
        <v>1</v>
      </c>
      <c r="M24">
        <f>COUNTBLANK(data_validation[[#This Row],[Corporate_Loan_Rate]])</f>
        <v>0</v>
      </c>
      <c r="N24">
        <f>COUNTBLANK(data_validation[[#This Row],[New_Loan_Volume]])</f>
        <v>0</v>
      </c>
      <c r="O24">
        <f>COUNTBLANK(data_validation[[#This Row],[Loan_Stock]])</f>
        <v>0</v>
      </c>
      <c r="P24">
        <f>COUNTBLANK(data_validation[[#This Row],[ECB_DFR]])</f>
        <v>0</v>
      </c>
      <c r="Q24">
        <f t="shared" si="0"/>
        <v>1</v>
      </c>
      <c r="R24">
        <f>COUNTIF(data_validation[[#This Row],[New_Loan_Volume]],"&lt;0")</f>
        <v>0</v>
      </c>
      <c r="S24">
        <f>COUNTIF(data_validation[[#This Row],[Loan_Stock]],"&lt;0")</f>
        <v>0</v>
      </c>
    </row>
    <row r="25" spans="1:19" x14ac:dyDescent="0.35">
      <c r="A25" s="1">
        <v>44196</v>
      </c>
      <c r="B25" t="s">
        <v>29</v>
      </c>
      <c r="C25">
        <f>YEAR(data_validation[[#This Row],[DATE]])</f>
        <v>2020</v>
      </c>
      <c r="D25" s="4">
        <v>1.31</v>
      </c>
      <c r="E25" s="4">
        <v>61453</v>
      </c>
      <c r="F25" s="4">
        <v>1150728</v>
      </c>
      <c r="G25" s="4">
        <f>_xlfn.XLOOKUP(data_validation[[#This Row],[DATE]],Table1[DATE],Table1[Deposit facility - date of changes (raw data) - Level (FM.D.U2.EUR.4F.KR.DFR.LEV)],,-1)</f>
        <v>-0.5</v>
      </c>
      <c r="H25" s="4">
        <f>data_validation[[#This Row],[Corporate_Loan_Rate]]-data_validation[[#This Row],[ECB_DFR]]</f>
        <v>1.81</v>
      </c>
      <c r="I25" s="5">
        <f>IFERROR(data_validation[[#This Row],[New_Loan_Volume]]/_xlfn.XLOOKUP(EOMONTH(data_validation[[#This Row],[DATE]],-12),data_validation[DATE],data_validation[New_Loan_Volume])-1,"")</f>
        <v>-0.18536242642770029</v>
      </c>
      <c r="J25" s="5">
        <f>IFERROR(data_validation[[#This Row],[Loan_Stock]]/_xlfn.XLOOKUP(EOMONTH(data_validation[[#This Row],[DATE]],-12),data_validation[DATE],data_validation[Loan_Stock])-1,"")</f>
        <v>4.0865669454723363E-2</v>
      </c>
      <c r="K25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50759.666666666664</v>
      </c>
      <c r="L25">
        <f>COUNTIF(data_validation[DATE],data_validation[[#This Row],[DATE]])</f>
        <v>1</v>
      </c>
      <c r="M25">
        <f>COUNTBLANK(data_validation[[#This Row],[Corporate_Loan_Rate]])</f>
        <v>0</v>
      </c>
      <c r="N25">
        <f>COUNTBLANK(data_validation[[#This Row],[New_Loan_Volume]])</f>
        <v>0</v>
      </c>
      <c r="O25">
        <f>COUNTBLANK(data_validation[[#This Row],[Loan_Stock]])</f>
        <v>0</v>
      </c>
      <c r="P25">
        <f>COUNTBLANK(data_validation[[#This Row],[ECB_DFR]])</f>
        <v>0</v>
      </c>
      <c r="Q25">
        <f t="shared" si="0"/>
        <v>1</v>
      </c>
      <c r="R25">
        <f>COUNTIF(data_validation[[#This Row],[New_Loan_Volume]],"&lt;0")</f>
        <v>0</v>
      </c>
      <c r="S25">
        <f>COUNTIF(data_validation[[#This Row],[Loan_Stock]],"&lt;0")</f>
        <v>0</v>
      </c>
    </row>
    <row r="26" spans="1:19" x14ac:dyDescent="0.35">
      <c r="A26" s="1">
        <v>44227</v>
      </c>
      <c r="B26" t="s">
        <v>30</v>
      </c>
      <c r="C26">
        <f>YEAR(data_validation[[#This Row],[DATE]])</f>
        <v>2021</v>
      </c>
      <c r="D26" s="4">
        <v>1.29</v>
      </c>
      <c r="E26" s="4">
        <v>37482</v>
      </c>
      <c r="F26" s="4">
        <v>1153371</v>
      </c>
      <c r="G26" s="4">
        <f>_xlfn.XLOOKUP(data_validation[[#This Row],[DATE]],Table1[DATE],Table1[Deposit facility - date of changes (raw data) - Level (FM.D.U2.EUR.4F.KR.DFR.LEV)],,-1)</f>
        <v>-0.5</v>
      </c>
      <c r="H26" s="4">
        <f>data_validation[[#This Row],[Corporate_Loan_Rate]]-data_validation[[#This Row],[ECB_DFR]]</f>
        <v>1.79</v>
      </c>
      <c r="I26" s="5">
        <f>IFERROR(data_validation[[#This Row],[New_Loan_Volume]]/_xlfn.XLOOKUP(EOMONTH(data_validation[[#This Row],[DATE]],-12),data_validation[DATE],data_validation[New_Loan_Volume])-1,"")</f>
        <v>-0.25688455361922324</v>
      </c>
      <c r="J26" s="5">
        <f>IFERROR(data_validation[[#This Row],[Loan_Stock]]/_xlfn.XLOOKUP(EOMONTH(data_validation[[#This Row],[DATE]],-12),data_validation[DATE],data_validation[Loan_Stock])-1,"")</f>
        <v>4.2050797413871077E-2</v>
      </c>
      <c r="K26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47910</v>
      </c>
      <c r="L26">
        <f>COUNTIF(data_validation[DATE],data_validation[[#This Row],[DATE]])</f>
        <v>1</v>
      </c>
      <c r="M26">
        <f>COUNTBLANK(data_validation[[#This Row],[Corporate_Loan_Rate]])</f>
        <v>0</v>
      </c>
      <c r="N26">
        <f>COUNTBLANK(data_validation[[#This Row],[New_Loan_Volume]])</f>
        <v>0</v>
      </c>
      <c r="O26">
        <f>COUNTBLANK(data_validation[[#This Row],[Loan_Stock]])</f>
        <v>0</v>
      </c>
      <c r="P26">
        <f>COUNTBLANK(data_validation[[#This Row],[ECB_DFR]])</f>
        <v>0</v>
      </c>
      <c r="Q26">
        <f t="shared" si="0"/>
        <v>1</v>
      </c>
      <c r="R26">
        <f>COUNTIF(data_validation[[#This Row],[New_Loan_Volume]],"&lt;0")</f>
        <v>0</v>
      </c>
      <c r="S26">
        <f>COUNTIF(data_validation[[#This Row],[Loan_Stock]],"&lt;0")</f>
        <v>0</v>
      </c>
    </row>
    <row r="27" spans="1:19" x14ac:dyDescent="0.35">
      <c r="A27" s="1">
        <v>44255</v>
      </c>
      <c r="B27" t="s">
        <v>31</v>
      </c>
      <c r="C27">
        <f>YEAR(data_validation[[#This Row],[DATE]])</f>
        <v>2021</v>
      </c>
      <c r="D27" s="4">
        <v>1.3</v>
      </c>
      <c r="E27" s="4">
        <v>39808</v>
      </c>
      <c r="F27" s="4">
        <v>1161795</v>
      </c>
      <c r="G27" s="4">
        <f>_xlfn.XLOOKUP(data_validation[[#This Row],[DATE]],Table1[DATE],Table1[Deposit facility - date of changes (raw data) - Level (FM.D.U2.EUR.4F.KR.DFR.LEV)],,-1)</f>
        <v>-0.5</v>
      </c>
      <c r="H27" s="4">
        <f>data_validation[[#This Row],[Corporate_Loan_Rate]]-data_validation[[#This Row],[ECB_DFR]]</f>
        <v>1.8</v>
      </c>
      <c r="I27" s="5">
        <f>IFERROR(data_validation[[#This Row],[New_Loan_Volume]]/_xlfn.XLOOKUP(EOMONTH(data_validation[[#This Row],[DATE]],-12),data_validation[DATE],data_validation[New_Loan_Volume])-1,"")</f>
        <v>-0.17808106043400163</v>
      </c>
      <c r="J27" s="5">
        <f>IFERROR(data_validation[[#This Row],[Loan_Stock]]/_xlfn.XLOOKUP(EOMONTH(data_validation[[#This Row],[DATE]],-12),data_validation[DATE],data_validation[Loan_Stock])-1,"")</f>
        <v>4.2396787200482455E-2</v>
      </c>
      <c r="K27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46247.666666666664</v>
      </c>
      <c r="L27">
        <f>COUNTIF(data_validation[DATE],data_validation[[#This Row],[DATE]])</f>
        <v>1</v>
      </c>
      <c r="M27">
        <f>COUNTBLANK(data_validation[[#This Row],[Corporate_Loan_Rate]])</f>
        <v>0</v>
      </c>
      <c r="N27">
        <f>COUNTBLANK(data_validation[[#This Row],[New_Loan_Volume]])</f>
        <v>0</v>
      </c>
      <c r="O27">
        <f>COUNTBLANK(data_validation[[#This Row],[Loan_Stock]])</f>
        <v>0</v>
      </c>
      <c r="P27">
        <f>COUNTBLANK(data_validation[[#This Row],[ECB_DFR]])</f>
        <v>0</v>
      </c>
      <c r="Q27">
        <f t="shared" si="0"/>
        <v>1</v>
      </c>
      <c r="R27">
        <f>COUNTIF(data_validation[[#This Row],[New_Loan_Volume]],"&lt;0")</f>
        <v>0</v>
      </c>
      <c r="S27">
        <f>COUNTIF(data_validation[[#This Row],[Loan_Stock]],"&lt;0")</f>
        <v>0</v>
      </c>
    </row>
    <row r="28" spans="1:19" x14ac:dyDescent="0.35">
      <c r="A28" s="1">
        <v>44286</v>
      </c>
      <c r="B28" t="s">
        <v>32</v>
      </c>
      <c r="C28">
        <f>YEAR(data_validation[[#This Row],[DATE]])</f>
        <v>2021</v>
      </c>
      <c r="D28" s="4">
        <v>0.94</v>
      </c>
      <c r="E28" s="4">
        <v>71405</v>
      </c>
      <c r="F28" s="4">
        <v>1180511</v>
      </c>
      <c r="G28" s="4">
        <f>_xlfn.XLOOKUP(data_validation[[#This Row],[DATE]],Table1[DATE],Table1[Deposit facility - date of changes (raw data) - Level (FM.D.U2.EUR.4F.KR.DFR.LEV)],,-1)</f>
        <v>-0.5</v>
      </c>
      <c r="H28" s="4">
        <f>data_validation[[#This Row],[Corporate_Loan_Rate]]-data_validation[[#This Row],[ECB_DFR]]</f>
        <v>1.44</v>
      </c>
      <c r="I28" s="5">
        <f>IFERROR(data_validation[[#This Row],[New_Loan_Volume]]/_xlfn.XLOOKUP(EOMONTH(data_validation[[#This Row],[DATE]],-12),data_validation[DATE],data_validation[New_Loan_Volume])-1,"")</f>
        <v>-6.1934585942936549E-3</v>
      </c>
      <c r="J28" s="5">
        <f>IFERROR(data_validation[[#This Row],[Loan_Stock]]/_xlfn.XLOOKUP(EOMONTH(data_validation[[#This Row],[DATE]],-12),data_validation[DATE],data_validation[Loan_Stock])-1,"")</f>
        <v>3.7716991149820078E-2</v>
      </c>
      <c r="K28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49565</v>
      </c>
      <c r="L28">
        <f>COUNTIF(data_validation[DATE],data_validation[[#This Row],[DATE]])</f>
        <v>1</v>
      </c>
      <c r="M28">
        <f>COUNTBLANK(data_validation[[#This Row],[Corporate_Loan_Rate]])</f>
        <v>0</v>
      </c>
      <c r="N28">
        <f>COUNTBLANK(data_validation[[#This Row],[New_Loan_Volume]])</f>
        <v>0</v>
      </c>
      <c r="O28">
        <f>COUNTBLANK(data_validation[[#This Row],[Loan_Stock]])</f>
        <v>0</v>
      </c>
      <c r="P28">
        <f>COUNTBLANK(data_validation[[#This Row],[ECB_DFR]])</f>
        <v>0</v>
      </c>
      <c r="Q28">
        <f t="shared" si="0"/>
        <v>1</v>
      </c>
      <c r="R28">
        <f>COUNTIF(data_validation[[#This Row],[New_Loan_Volume]],"&lt;0")</f>
        <v>0</v>
      </c>
      <c r="S28">
        <f>COUNTIF(data_validation[[#This Row],[Loan_Stock]],"&lt;0")</f>
        <v>0</v>
      </c>
    </row>
    <row r="29" spans="1:19" x14ac:dyDescent="0.35">
      <c r="A29" s="1">
        <v>44316</v>
      </c>
      <c r="B29" t="s">
        <v>33</v>
      </c>
      <c r="C29">
        <f>YEAR(data_validation[[#This Row],[DATE]])</f>
        <v>2021</v>
      </c>
      <c r="D29" s="4">
        <v>1.5</v>
      </c>
      <c r="E29" s="4">
        <v>37857</v>
      </c>
      <c r="F29" s="4">
        <v>1171411</v>
      </c>
      <c r="G29" s="4">
        <f>_xlfn.XLOOKUP(data_validation[[#This Row],[DATE]],Table1[DATE],Table1[Deposit facility - date of changes (raw data) - Level (FM.D.U2.EUR.4F.KR.DFR.LEV)],,-1)</f>
        <v>-0.5</v>
      </c>
      <c r="H29" s="4">
        <f>data_validation[[#This Row],[Corporate_Loan_Rate]]-data_validation[[#This Row],[ECB_DFR]]</f>
        <v>2</v>
      </c>
      <c r="I29" s="5">
        <f>IFERROR(data_validation[[#This Row],[New_Loan_Volume]]/_xlfn.XLOOKUP(EOMONTH(data_validation[[#This Row],[DATE]],-12),data_validation[DATE],data_validation[New_Loan_Volume])-1,"")</f>
        <v>-0.3423836573036636</v>
      </c>
      <c r="J29" s="5">
        <f>IFERROR(data_validation[[#This Row],[Loan_Stock]]/_xlfn.XLOOKUP(EOMONTH(data_validation[[#This Row],[DATE]],-12),data_validation[DATE],data_validation[Loan_Stock])-1,"")</f>
        <v>1.8595231759977571E-2</v>
      </c>
      <c r="K29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49690</v>
      </c>
      <c r="L29">
        <f>COUNTIF(data_validation[DATE],data_validation[[#This Row],[DATE]])</f>
        <v>1</v>
      </c>
      <c r="M29">
        <f>COUNTBLANK(data_validation[[#This Row],[Corporate_Loan_Rate]])</f>
        <v>0</v>
      </c>
      <c r="N29">
        <f>COUNTBLANK(data_validation[[#This Row],[New_Loan_Volume]])</f>
        <v>0</v>
      </c>
      <c r="O29">
        <f>COUNTBLANK(data_validation[[#This Row],[Loan_Stock]])</f>
        <v>0</v>
      </c>
      <c r="P29">
        <f>COUNTBLANK(data_validation[[#This Row],[ECB_DFR]])</f>
        <v>0</v>
      </c>
      <c r="Q29">
        <f t="shared" si="0"/>
        <v>1</v>
      </c>
      <c r="R29">
        <f>COUNTIF(data_validation[[#This Row],[New_Loan_Volume]],"&lt;0")</f>
        <v>0</v>
      </c>
      <c r="S29">
        <f>COUNTIF(data_validation[[#This Row],[Loan_Stock]],"&lt;0")</f>
        <v>0</v>
      </c>
    </row>
    <row r="30" spans="1:19" x14ac:dyDescent="0.35">
      <c r="A30" s="1">
        <v>44347</v>
      </c>
      <c r="B30" t="s">
        <v>34</v>
      </c>
      <c r="C30">
        <f>YEAR(data_validation[[#This Row],[DATE]])</f>
        <v>2021</v>
      </c>
      <c r="D30" s="4">
        <v>1.25</v>
      </c>
      <c r="E30" s="4">
        <v>42588</v>
      </c>
      <c r="F30" s="4">
        <v>1176771</v>
      </c>
      <c r="G30" s="4">
        <f>_xlfn.XLOOKUP(data_validation[[#This Row],[DATE]],Table1[DATE],Table1[Deposit facility - date of changes (raw data) - Level (FM.D.U2.EUR.4F.KR.DFR.LEV)],,-1)</f>
        <v>-0.5</v>
      </c>
      <c r="H30" s="4">
        <f>data_validation[[#This Row],[Corporate_Loan_Rate]]-data_validation[[#This Row],[ECB_DFR]]</f>
        <v>1.75</v>
      </c>
      <c r="I30" s="5">
        <f>IFERROR(data_validation[[#This Row],[New_Loan_Volume]]/_xlfn.XLOOKUP(EOMONTH(data_validation[[#This Row],[DATE]],-12),data_validation[DATE],data_validation[New_Loan_Volume])-1,"")</f>
        <v>-0.17030976037405021</v>
      </c>
      <c r="J30" s="5">
        <f>IFERROR(data_validation[[#This Row],[Loan_Stock]]/_xlfn.XLOOKUP(EOMONTH(data_validation[[#This Row],[DATE]],-12),data_validation[DATE],data_validation[Loan_Stock])-1,"")</f>
        <v>1.4828696006126352E-2</v>
      </c>
      <c r="K30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50616.666666666664</v>
      </c>
      <c r="L30">
        <f>COUNTIF(data_validation[DATE],data_validation[[#This Row],[DATE]])</f>
        <v>1</v>
      </c>
      <c r="M30">
        <f>COUNTBLANK(data_validation[[#This Row],[Corporate_Loan_Rate]])</f>
        <v>0</v>
      </c>
      <c r="N30">
        <f>COUNTBLANK(data_validation[[#This Row],[New_Loan_Volume]])</f>
        <v>0</v>
      </c>
      <c r="O30">
        <f>COUNTBLANK(data_validation[[#This Row],[Loan_Stock]])</f>
        <v>0</v>
      </c>
      <c r="P30">
        <f>COUNTBLANK(data_validation[[#This Row],[ECB_DFR]])</f>
        <v>0</v>
      </c>
      <c r="Q30">
        <f t="shared" si="0"/>
        <v>1</v>
      </c>
      <c r="R30">
        <f>COUNTIF(data_validation[[#This Row],[New_Loan_Volume]],"&lt;0")</f>
        <v>0</v>
      </c>
      <c r="S30">
        <f>COUNTIF(data_validation[[#This Row],[Loan_Stock]],"&lt;0")</f>
        <v>0</v>
      </c>
    </row>
    <row r="31" spans="1:19" x14ac:dyDescent="0.35">
      <c r="A31" s="1">
        <v>44377</v>
      </c>
      <c r="B31" t="s">
        <v>35</v>
      </c>
      <c r="C31">
        <f>YEAR(data_validation[[#This Row],[DATE]])</f>
        <v>2021</v>
      </c>
      <c r="D31" s="4">
        <v>1.27</v>
      </c>
      <c r="E31" s="4">
        <v>55246</v>
      </c>
      <c r="F31" s="4">
        <v>1172189</v>
      </c>
      <c r="G31" s="4">
        <f>_xlfn.XLOOKUP(data_validation[[#This Row],[DATE]],Table1[DATE],Table1[Deposit facility - date of changes (raw data) - Level (FM.D.U2.EUR.4F.KR.DFR.LEV)],,-1)</f>
        <v>-0.5</v>
      </c>
      <c r="H31" s="4">
        <f>data_validation[[#This Row],[Corporate_Loan_Rate]]-data_validation[[#This Row],[ECB_DFR]]</f>
        <v>1.77</v>
      </c>
      <c r="I31" s="5">
        <f>IFERROR(data_validation[[#This Row],[New_Loan_Volume]]/_xlfn.XLOOKUP(EOMONTH(data_validation[[#This Row],[DATE]],-12),data_validation[DATE],data_validation[New_Loan_Volume])-1,"")</f>
        <v>-1.8599115342937789E-2</v>
      </c>
      <c r="J31" s="5">
        <f>IFERROR(data_validation[[#This Row],[Loan_Stock]]/_xlfn.XLOOKUP(EOMONTH(data_validation[[#This Row],[DATE]],-12),data_validation[DATE],data_validation[Loan_Stock])-1,"")</f>
        <v>1.3566808099272132E-2</v>
      </c>
      <c r="K31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45230.333333333336</v>
      </c>
      <c r="L31">
        <f>COUNTIF(data_validation[DATE],data_validation[[#This Row],[DATE]])</f>
        <v>1</v>
      </c>
      <c r="M31">
        <f>COUNTBLANK(data_validation[[#This Row],[Corporate_Loan_Rate]])</f>
        <v>0</v>
      </c>
      <c r="N31">
        <f>COUNTBLANK(data_validation[[#This Row],[New_Loan_Volume]])</f>
        <v>0</v>
      </c>
      <c r="O31">
        <f>COUNTBLANK(data_validation[[#This Row],[Loan_Stock]])</f>
        <v>0</v>
      </c>
      <c r="P31">
        <f>COUNTBLANK(data_validation[[#This Row],[ECB_DFR]])</f>
        <v>0</v>
      </c>
      <c r="Q31">
        <f t="shared" si="0"/>
        <v>1</v>
      </c>
      <c r="R31">
        <f>COUNTIF(data_validation[[#This Row],[New_Loan_Volume]],"&lt;0")</f>
        <v>0</v>
      </c>
      <c r="S31">
        <f>COUNTIF(data_validation[[#This Row],[Loan_Stock]],"&lt;0")</f>
        <v>0</v>
      </c>
    </row>
    <row r="32" spans="1:19" x14ac:dyDescent="0.35">
      <c r="A32" s="1">
        <v>44408</v>
      </c>
      <c r="B32" t="s">
        <v>36</v>
      </c>
      <c r="C32">
        <f>YEAR(data_validation[[#This Row],[DATE]])</f>
        <v>2021</v>
      </c>
      <c r="D32" s="4">
        <v>1.32</v>
      </c>
      <c r="E32" s="4">
        <v>49313</v>
      </c>
      <c r="F32" s="4">
        <v>1179705</v>
      </c>
      <c r="G32" s="4">
        <f>_xlfn.XLOOKUP(data_validation[[#This Row],[DATE]],Table1[DATE],Table1[Deposit facility - date of changes (raw data) - Level (FM.D.U2.EUR.4F.KR.DFR.LEV)],,-1)</f>
        <v>-0.5</v>
      </c>
      <c r="H32" s="4">
        <f>data_validation[[#This Row],[Corporate_Loan_Rate]]-data_validation[[#This Row],[ECB_DFR]]</f>
        <v>1.82</v>
      </c>
      <c r="I32" s="5">
        <f>IFERROR(data_validation[[#This Row],[New_Loan_Volume]]/_xlfn.XLOOKUP(EOMONTH(data_validation[[#This Row],[DATE]],-12),data_validation[DATE],data_validation[New_Loan_Volume])-1,"")</f>
        <v>6.5520901371651785E-3</v>
      </c>
      <c r="J32" s="5">
        <f>IFERROR(data_validation[[#This Row],[Loan_Stock]]/_xlfn.XLOOKUP(EOMONTH(data_validation[[#This Row],[DATE]],-12),data_validation[DATE],data_validation[Loan_Stock])-1,"")</f>
        <v>2.0465448606716397E-2</v>
      </c>
      <c r="K32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49049</v>
      </c>
      <c r="L32">
        <f>COUNTIF(data_validation[DATE],data_validation[[#This Row],[DATE]])</f>
        <v>1</v>
      </c>
      <c r="M32">
        <f>COUNTBLANK(data_validation[[#This Row],[Corporate_Loan_Rate]])</f>
        <v>0</v>
      </c>
      <c r="N32">
        <f>COUNTBLANK(data_validation[[#This Row],[New_Loan_Volume]])</f>
        <v>0</v>
      </c>
      <c r="O32">
        <f>COUNTBLANK(data_validation[[#This Row],[Loan_Stock]])</f>
        <v>0</v>
      </c>
      <c r="P32">
        <f>COUNTBLANK(data_validation[[#This Row],[ECB_DFR]])</f>
        <v>0</v>
      </c>
      <c r="Q32">
        <f t="shared" si="0"/>
        <v>1</v>
      </c>
      <c r="R32">
        <f>COUNTIF(data_validation[[#This Row],[New_Loan_Volume]],"&lt;0")</f>
        <v>0</v>
      </c>
      <c r="S32">
        <f>COUNTIF(data_validation[[#This Row],[Loan_Stock]],"&lt;0")</f>
        <v>0</v>
      </c>
    </row>
    <row r="33" spans="1:19" x14ac:dyDescent="0.35">
      <c r="A33" s="1">
        <v>44439</v>
      </c>
      <c r="B33" t="s">
        <v>37</v>
      </c>
      <c r="C33">
        <f>YEAR(data_validation[[#This Row],[DATE]])</f>
        <v>2021</v>
      </c>
      <c r="D33" s="4">
        <v>1.23</v>
      </c>
      <c r="E33" s="4">
        <v>39308</v>
      </c>
      <c r="F33" s="4">
        <v>1184643</v>
      </c>
      <c r="G33" s="4">
        <f>_xlfn.XLOOKUP(data_validation[[#This Row],[DATE]],Table1[DATE],Table1[Deposit facility - date of changes (raw data) - Level (FM.D.U2.EUR.4F.KR.DFR.LEV)],,-1)</f>
        <v>-0.5</v>
      </c>
      <c r="H33" s="4">
        <f>data_validation[[#This Row],[Corporate_Loan_Rate]]-data_validation[[#This Row],[ECB_DFR]]</f>
        <v>1.73</v>
      </c>
      <c r="I33" s="5">
        <f>IFERROR(data_validation[[#This Row],[New_Loan_Volume]]/_xlfn.XLOOKUP(EOMONTH(data_validation[[#This Row],[DATE]],-12),data_validation[DATE],data_validation[New_Loan_Volume])-1,"")</f>
        <v>5.3452796090303067E-4</v>
      </c>
      <c r="J33" s="5">
        <f>IFERROR(data_validation[[#This Row],[Loan_Stock]]/_xlfn.XLOOKUP(EOMONTH(data_validation[[#This Row],[DATE]],-12),data_validation[DATE],data_validation[Loan_Stock])-1,"")</f>
        <v>1.9395871106089535E-2</v>
      </c>
      <c r="K33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47955.666666666664</v>
      </c>
      <c r="L33">
        <f>COUNTIF(data_validation[DATE],data_validation[[#This Row],[DATE]])</f>
        <v>1</v>
      </c>
      <c r="M33">
        <f>COUNTBLANK(data_validation[[#This Row],[Corporate_Loan_Rate]])</f>
        <v>0</v>
      </c>
      <c r="N33">
        <f>COUNTBLANK(data_validation[[#This Row],[New_Loan_Volume]])</f>
        <v>0</v>
      </c>
      <c r="O33">
        <f>COUNTBLANK(data_validation[[#This Row],[Loan_Stock]])</f>
        <v>0</v>
      </c>
      <c r="P33">
        <f>COUNTBLANK(data_validation[[#This Row],[ECB_DFR]])</f>
        <v>0</v>
      </c>
      <c r="Q33">
        <f t="shared" si="0"/>
        <v>1</v>
      </c>
      <c r="R33">
        <f>COUNTIF(data_validation[[#This Row],[New_Loan_Volume]],"&lt;0")</f>
        <v>0</v>
      </c>
      <c r="S33">
        <f>COUNTIF(data_validation[[#This Row],[Loan_Stock]],"&lt;0")</f>
        <v>0</v>
      </c>
    </row>
    <row r="34" spans="1:19" x14ac:dyDescent="0.35">
      <c r="A34" s="1">
        <v>44469</v>
      </c>
      <c r="B34" t="s">
        <v>38</v>
      </c>
      <c r="C34">
        <f>YEAR(data_validation[[#This Row],[DATE]])</f>
        <v>2021</v>
      </c>
      <c r="D34" s="4">
        <v>1.38</v>
      </c>
      <c r="E34" s="4">
        <v>45930</v>
      </c>
      <c r="F34" s="4">
        <v>1184641</v>
      </c>
      <c r="G34" s="4">
        <f>_xlfn.XLOOKUP(data_validation[[#This Row],[DATE]],Table1[DATE],Table1[Deposit facility - date of changes (raw data) - Level (FM.D.U2.EUR.4F.KR.DFR.LEV)],,-1)</f>
        <v>-0.5</v>
      </c>
      <c r="H34" s="4">
        <f>data_validation[[#This Row],[Corporate_Loan_Rate]]-data_validation[[#This Row],[ECB_DFR]]</f>
        <v>1.88</v>
      </c>
      <c r="I34" s="5">
        <f>IFERROR(data_validation[[#This Row],[New_Loan_Volume]]/_xlfn.XLOOKUP(EOMONTH(data_validation[[#This Row],[DATE]],-12),data_validation[DATE],data_validation[New_Loan_Volume])-1,"")</f>
        <v>-7.607821049243646E-2</v>
      </c>
      <c r="J34" s="5">
        <f>IFERROR(data_validation[[#This Row],[Loan_Stock]]/_xlfn.XLOOKUP(EOMONTH(data_validation[[#This Row],[DATE]],-12),data_validation[DATE],data_validation[Loan_Stock])-1,"")</f>
        <v>3.0240862429426585E-2</v>
      </c>
      <c r="K34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44850.333333333336</v>
      </c>
      <c r="L34">
        <f>COUNTIF(data_validation[DATE],data_validation[[#This Row],[DATE]])</f>
        <v>1</v>
      </c>
      <c r="M34">
        <f>COUNTBLANK(data_validation[[#This Row],[Corporate_Loan_Rate]])</f>
        <v>0</v>
      </c>
      <c r="N34">
        <f>COUNTBLANK(data_validation[[#This Row],[New_Loan_Volume]])</f>
        <v>0</v>
      </c>
      <c r="O34">
        <f>COUNTBLANK(data_validation[[#This Row],[Loan_Stock]])</f>
        <v>0</v>
      </c>
      <c r="P34">
        <f>COUNTBLANK(data_validation[[#This Row],[ECB_DFR]])</f>
        <v>0</v>
      </c>
      <c r="Q34">
        <f t="shared" si="0"/>
        <v>1</v>
      </c>
      <c r="R34">
        <f>COUNTIF(data_validation[[#This Row],[New_Loan_Volume]],"&lt;0")</f>
        <v>0</v>
      </c>
      <c r="S34">
        <f>COUNTIF(data_validation[[#This Row],[Loan_Stock]],"&lt;0")</f>
        <v>0</v>
      </c>
    </row>
    <row r="35" spans="1:19" x14ac:dyDescent="0.35">
      <c r="A35" s="1">
        <v>44500</v>
      </c>
      <c r="B35" t="s">
        <v>39</v>
      </c>
      <c r="C35">
        <f>YEAR(data_validation[[#This Row],[DATE]])</f>
        <v>2021</v>
      </c>
      <c r="D35" s="4">
        <v>1.1599999999999999</v>
      </c>
      <c r="E35" s="4">
        <v>51018</v>
      </c>
      <c r="F35" s="4">
        <v>1199371</v>
      </c>
      <c r="G35" s="4">
        <f>_xlfn.XLOOKUP(data_validation[[#This Row],[DATE]],Table1[DATE],Table1[Deposit facility - date of changes (raw data) - Level (FM.D.U2.EUR.4F.KR.DFR.LEV)],,-1)</f>
        <v>-0.5</v>
      </c>
      <c r="H35" s="4">
        <f>data_validation[[#This Row],[Corporate_Loan_Rate]]-data_validation[[#This Row],[ECB_DFR]]</f>
        <v>1.66</v>
      </c>
      <c r="I35" s="5">
        <f>IFERROR(data_validation[[#This Row],[New_Loan_Volume]]/_xlfn.XLOOKUP(EOMONTH(data_validation[[#This Row],[DATE]],-12),data_validation[DATE],data_validation[New_Loan_Volume])-1,"")</f>
        <v>0.10834003171775541</v>
      </c>
      <c r="J35" s="5">
        <f>IFERROR(data_validation[[#This Row],[Loan_Stock]]/_xlfn.XLOOKUP(EOMONTH(data_validation[[#This Row],[DATE]],-12),data_validation[DATE],data_validation[Loan_Stock])-1,"")</f>
        <v>4.0089598679087235E-2</v>
      </c>
      <c r="K35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45418.666666666664</v>
      </c>
      <c r="L35">
        <f>COUNTIF(data_validation[DATE],data_validation[[#This Row],[DATE]])</f>
        <v>1</v>
      </c>
      <c r="M35">
        <f>COUNTBLANK(data_validation[[#This Row],[Corporate_Loan_Rate]])</f>
        <v>0</v>
      </c>
      <c r="N35">
        <f>COUNTBLANK(data_validation[[#This Row],[New_Loan_Volume]])</f>
        <v>0</v>
      </c>
      <c r="O35">
        <f>COUNTBLANK(data_validation[[#This Row],[Loan_Stock]])</f>
        <v>0</v>
      </c>
      <c r="P35">
        <f>COUNTBLANK(data_validation[[#This Row],[ECB_DFR]])</f>
        <v>0</v>
      </c>
      <c r="Q35">
        <f t="shared" si="0"/>
        <v>1</v>
      </c>
      <c r="R35">
        <f>COUNTIF(data_validation[[#This Row],[New_Loan_Volume]],"&lt;0")</f>
        <v>0</v>
      </c>
      <c r="S35">
        <f>COUNTIF(data_validation[[#This Row],[Loan_Stock]],"&lt;0")</f>
        <v>0</v>
      </c>
    </row>
    <row r="36" spans="1:19" x14ac:dyDescent="0.35">
      <c r="A36" s="1">
        <v>44530</v>
      </c>
      <c r="B36" t="s">
        <v>40</v>
      </c>
      <c r="C36">
        <f>YEAR(data_validation[[#This Row],[DATE]])</f>
        <v>2021</v>
      </c>
      <c r="D36" s="4">
        <v>1.1299999999999999</v>
      </c>
      <c r="E36" s="4">
        <v>56535</v>
      </c>
      <c r="F36" s="4">
        <v>1209463</v>
      </c>
      <c r="G36" s="4">
        <f>_xlfn.XLOOKUP(data_validation[[#This Row],[DATE]],Table1[DATE],Table1[Deposit facility - date of changes (raw data) - Level (FM.D.U2.EUR.4F.KR.DFR.LEV)],,-1)</f>
        <v>-0.5</v>
      </c>
      <c r="H36" s="4">
        <f>data_validation[[#This Row],[Corporate_Loan_Rate]]-data_validation[[#This Row],[ECB_DFR]]</f>
        <v>1.63</v>
      </c>
      <c r="I36" s="5">
        <f>IFERROR(data_validation[[#This Row],[New_Loan_Volume]]/_xlfn.XLOOKUP(EOMONTH(data_validation[[#This Row],[DATE]],-12),data_validation[DATE],data_validation[New_Loan_Volume])-1,"")</f>
        <v>0.26208282174349806</v>
      </c>
      <c r="J36" s="5">
        <f>IFERROR(data_validation[[#This Row],[Loan_Stock]]/_xlfn.XLOOKUP(EOMONTH(data_validation[[#This Row],[DATE]],-12),data_validation[DATE],data_validation[Loan_Stock])-1,"")</f>
        <v>4.7899890658113398E-2</v>
      </c>
      <c r="K36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51161</v>
      </c>
      <c r="L36">
        <f>COUNTIF(data_validation[DATE],data_validation[[#This Row],[DATE]])</f>
        <v>1</v>
      </c>
      <c r="M36">
        <f>COUNTBLANK(data_validation[[#This Row],[Corporate_Loan_Rate]])</f>
        <v>0</v>
      </c>
      <c r="N36">
        <f>COUNTBLANK(data_validation[[#This Row],[New_Loan_Volume]])</f>
        <v>0</v>
      </c>
      <c r="O36">
        <f>COUNTBLANK(data_validation[[#This Row],[Loan_Stock]])</f>
        <v>0</v>
      </c>
      <c r="P36">
        <f>COUNTBLANK(data_validation[[#This Row],[ECB_DFR]])</f>
        <v>0</v>
      </c>
      <c r="Q36">
        <f t="shared" si="0"/>
        <v>1</v>
      </c>
      <c r="R36">
        <f>COUNTIF(data_validation[[#This Row],[New_Loan_Volume]],"&lt;0")</f>
        <v>0</v>
      </c>
      <c r="S36">
        <f>COUNTIF(data_validation[[#This Row],[Loan_Stock]],"&lt;0")</f>
        <v>0</v>
      </c>
    </row>
    <row r="37" spans="1:19" x14ac:dyDescent="0.35">
      <c r="A37" s="1">
        <v>44561</v>
      </c>
      <c r="B37" t="s">
        <v>41</v>
      </c>
      <c r="C37">
        <f>YEAR(data_validation[[#This Row],[DATE]])</f>
        <v>2021</v>
      </c>
      <c r="D37" s="4">
        <v>1.1499999999999999</v>
      </c>
      <c r="E37" s="4">
        <v>75953</v>
      </c>
      <c r="F37" s="4">
        <v>1215825</v>
      </c>
      <c r="G37" s="4">
        <f>_xlfn.XLOOKUP(data_validation[[#This Row],[DATE]],Table1[DATE],Table1[Deposit facility - date of changes (raw data) - Level (FM.D.U2.EUR.4F.KR.DFR.LEV)],,-1)</f>
        <v>-0.5</v>
      </c>
      <c r="H37" s="4">
        <f>data_validation[[#This Row],[Corporate_Loan_Rate]]-data_validation[[#This Row],[ECB_DFR]]</f>
        <v>1.65</v>
      </c>
      <c r="I37" s="5">
        <f>IFERROR(data_validation[[#This Row],[New_Loan_Volume]]/_xlfn.XLOOKUP(EOMONTH(data_validation[[#This Row],[DATE]],-12),data_validation[DATE],data_validation[New_Loan_Volume])-1,"")</f>
        <v>0.23595267928335484</v>
      </c>
      <c r="J37" s="5">
        <f>IFERROR(data_validation[[#This Row],[Loan_Stock]]/_xlfn.XLOOKUP(EOMONTH(data_validation[[#This Row],[DATE]],-12),data_validation[DATE],data_validation[Loan_Stock])-1,"")</f>
        <v>5.657027551254501E-2</v>
      </c>
      <c r="K37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61168.666666666664</v>
      </c>
      <c r="L37">
        <f>COUNTIF(data_validation[DATE],data_validation[[#This Row],[DATE]])</f>
        <v>1</v>
      </c>
      <c r="M37">
        <f>COUNTBLANK(data_validation[[#This Row],[Corporate_Loan_Rate]])</f>
        <v>0</v>
      </c>
      <c r="N37">
        <f>COUNTBLANK(data_validation[[#This Row],[New_Loan_Volume]])</f>
        <v>0</v>
      </c>
      <c r="O37">
        <f>COUNTBLANK(data_validation[[#This Row],[Loan_Stock]])</f>
        <v>0</v>
      </c>
      <c r="P37">
        <f>COUNTBLANK(data_validation[[#This Row],[ECB_DFR]])</f>
        <v>0</v>
      </c>
      <c r="Q37">
        <f t="shared" si="0"/>
        <v>1</v>
      </c>
      <c r="R37">
        <f>COUNTIF(data_validation[[#This Row],[New_Loan_Volume]],"&lt;0")</f>
        <v>0</v>
      </c>
      <c r="S37">
        <f>COUNTIF(data_validation[[#This Row],[Loan_Stock]],"&lt;0")</f>
        <v>0</v>
      </c>
    </row>
    <row r="38" spans="1:19" x14ac:dyDescent="0.35">
      <c r="A38" s="1">
        <v>44592</v>
      </c>
      <c r="B38" t="s">
        <v>42</v>
      </c>
      <c r="C38">
        <f>YEAR(data_validation[[#This Row],[DATE]])</f>
        <v>2022</v>
      </c>
      <c r="D38" s="4">
        <v>1.3</v>
      </c>
      <c r="E38" s="4">
        <v>43783</v>
      </c>
      <c r="F38" s="4">
        <v>1223896</v>
      </c>
      <c r="G38" s="4">
        <f>_xlfn.XLOOKUP(data_validation[[#This Row],[DATE]],Table1[DATE],Table1[Deposit facility - date of changes (raw data) - Level (FM.D.U2.EUR.4F.KR.DFR.LEV)],,-1)</f>
        <v>-0.5</v>
      </c>
      <c r="H38" s="4">
        <f>data_validation[[#This Row],[Corporate_Loan_Rate]]-data_validation[[#This Row],[ECB_DFR]]</f>
        <v>1.8</v>
      </c>
      <c r="I38" s="5">
        <f>IFERROR(data_validation[[#This Row],[New_Loan_Volume]]/_xlfn.XLOOKUP(EOMONTH(data_validation[[#This Row],[DATE]],-12),data_validation[DATE],data_validation[New_Loan_Volume])-1,"")</f>
        <v>0.1681073581986019</v>
      </c>
      <c r="J38" s="5">
        <f>IFERROR(data_validation[[#This Row],[Loan_Stock]]/_xlfn.XLOOKUP(EOMONTH(data_validation[[#This Row],[DATE]],-12),data_validation[DATE],data_validation[Loan_Stock])-1,"")</f>
        <v>6.114684693823591E-2</v>
      </c>
      <c r="K38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58757</v>
      </c>
      <c r="L38">
        <f>COUNTIF(data_validation[DATE],data_validation[[#This Row],[DATE]])</f>
        <v>1</v>
      </c>
      <c r="M38">
        <f>COUNTBLANK(data_validation[[#This Row],[Corporate_Loan_Rate]])</f>
        <v>0</v>
      </c>
      <c r="N38">
        <f>COUNTBLANK(data_validation[[#This Row],[New_Loan_Volume]])</f>
        <v>0</v>
      </c>
      <c r="O38">
        <f>COUNTBLANK(data_validation[[#This Row],[Loan_Stock]])</f>
        <v>0</v>
      </c>
      <c r="P38">
        <f>COUNTBLANK(data_validation[[#This Row],[ECB_DFR]])</f>
        <v>0</v>
      </c>
      <c r="Q38">
        <f t="shared" si="0"/>
        <v>1</v>
      </c>
      <c r="R38">
        <f>COUNTIF(data_validation[[#This Row],[New_Loan_Volume]],"&lt;0")</f>
        <v>0</v>
      </c>
      <c r="S38">
        <f>COUNTIF(data_validation[[#This Row],[Loan_Stock]],"&lt;0")</f>
        <v>0</v>
      </c>
    </row>
    <row r="39" spans="1:19" x14ac:dyDescent="0.35">
      <c r="A39" s="1">
        <v>44620</v>
      </c>
      <c r="B39" t="s">
        <v>43</v>
      </c>
      <c r="C39">
        <f>YEAR(data_validation[[#This Row],[DATE]])</f>
        <v>2022</v>
      </c>
      <c r="D39" s="4">
        <v>1.36</v>
      </c>
      <c r="E39" s="4">
        <v>47988</v>
      </c>
      <c r="F39" s="4">
        <v>1235419</v>
      </c>
      <c r="G39" s="4">
        <f>_xlfn.XLOOKUP(data_validation[[#This Row],[DATE]],Table1[DATE],Table1[Deposit facility - date of changes (raw data) - Level (FM.D.U2.EUR.4F.KR.DFR.LEV)],,-1)</f>
        <v>-0.5</v>
      </c>
      <c r="H39" s="4">
        <f>data_validation[[#This Row],[Corporate_Loan_Rate]]-data_validation[[#This Row],[ECB_DFR]]</f>
        <v>1.86</v>
      </c>
      <c r="I39" s="5">
        <f>IFERROR(data_validation[[#This Row],[New_Loan_Volume]]/_xlfn.XLOOKUP(EOMONTH(data_validation[[#This Row],[DATE]],-12),data_validation[DATE],data_validation[New_Loan_Volume])-1,"")</f>
        <v>0.20548633440514474</v>
      </c>
      <c r="J39" s="5">
        <f>IFERROR(data_validation[[#This Row],[Loan_Stock]]/_xlfn.XLOOKUP(EOMONTH(data_validation[[#This Row],[DATE]],-12),data_validation[DATE],data_validation[Loan_Stock])-1,"")</f>
        <v>6.3370904505528181E-2</v>
      </c>
      <c r="K39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55908</v>
      </c>
      <c r="L39">
        <f>COUNTIF(data_validation[DATE],data_validation[[#This Row],[DATE]])</f>
        <v>1</v>
      </c>
      <c r="M39">
        <f>COUNTBLANK(data_validation[[#This Row],[Corporate_Loan_Rate]])</f>
        <v>0</v>
      </c>
      <c r="N39">
        <f>COUNTBLANK(data_validation[[#This Row],[New_Loan_Volume]])</f>
        <v>0</v>
      </c>
      <c r="O39">
        <f>COUNTBLANK(data_validation[[#This Row],[Loan_Stock]])</f>
        <v>0</v>
      </c>
      <c r="P39">
        <f>COUNTBLANK(data_validation[[#This Row],[ECB_DFR]])</f>
        <v>0</v>
      </c>
      <c r="Q39">
        <f t="shared" si="0"/>
        <v>1</v>
      </c>
      <c r="R39">
        <f>COUNTIF(data_validation[[#This Row],[New_Loan_Volume]],"&lt;0")</f>
        <v>0</v>
      </c>
      <c r="S39">
        <f>COUNTIF(data_validation[[#This Row],[Loan_Stock]],"&lt;0")</f>
        <v>0</v>
      </c>
    </row>
    <row r="40" spans="1:19" x14ac:dyDescent="0.35">
      <c r="A40" s="1">
        <v>44651</v>
      </c>
      <c r="B40" t="s">
        <v>44</v>
      </c>
      <c r="C40">
        <f>YEAR(data_validation[[#This Row],[DATE]])</f>
        <v>2022</v>
      </c>
      <c r="D40" s="4">
        <v>1.55</v>
      </c>
      <c r="E40" s="4">
        <v>70681</v>
      </c>
      <c r="F40" s="4">
        <v>1245095</v>
      </c>
      <c r="G40" s="4">
        <f>_xlfn.XLOOKUP(data_validation[[#This Row],[DATE]],Table1[DATE],Table1[Deposit facility - date of changes (raw data) - Level (FM.D.U2.EUR.4F.KR.DFR.LEV)],,-1)</f>
        <v>-0.5</v>
      </c>
      <c r="H40" s="4">
        <f>data_validation[[#This Row],[Corporate_Loan_Rate]]-data_validation[[#This Row],[ECB_DFR]]</f>
        <v>2.0499999999999998</v>
      </c>
      <c r="I40" s="5">
        <f>IFERROR(data_validation[[#This Row],[New_Loan_Volume]]/_xlfn.XLOOKUP(EOMONTH(data_validation[[#This Row],[DATE]],-12),data_validation[DATE],data_validation[New_Loan_Volume])-1,"")</f>
        <v>-1.0139345984174764E-2</v>
      </c>
      <c r="J40" s="5">
        <f>IFERROR(data_validation[[#This Row],[Loan_Stock]]/_xlfn.XLOOKUP(EOMONTH(data_validation[[#This Row],[DATE]],-12),data_validation[DATE],data_validation[Loan_Stock])-1,"")</f>
        <v>5.4708511822422645E-2</v>
      </c>
      <c r="K40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54150.666666666664</v>
      </c>
      <c r="L40">
        <f>COUNTIF(data_validation[DATE],data_validation[[#This Row],[DATE]])</f>
        <v>1</v>
      </c>
      <c r="M40">
        <f>COUNTBLANK(data_validation[[#This Row],[Corporate_Loan_Rate]])</f>
        <v>0</v>
      </c>
      <c r="N40">
        <f>COUNTBLANK(data_validation[[#This Row],[New_Loan_Volume]])</f>
        <v>0</v>
      </c>
      <c r="O40">
        <f>COUNTBLANK(data_validation[[#This Row],[Loan_Stock]])</f>
        <v>0</v>
      </c>
      <c r="P40">
        <f>COUNTBLANK(data_validation[[#This Row],[ECB_DFR]])</f>
        <v>0</v>
      </c>
      <c r="Q40">
        <f t="shared" si="0"/>
        <v>1</v>
      </c>
      <c r="R40">
        <f>COUNTIF(data_validation[[#This Row],[New_Loan_Volume]],"&lt;0")</f>
        <v>0</v>
      </c>
      <c r="S40">
        <f>COUNTIF(data_validation[[#This Row],[Loan_Stock]],"&lt;0")</f>
        <v>0</v>
      </c>
    </row>
    <row r="41" spans="1:19" x14ac:dyDescent="0.35">
      <c r="A41" s="1">
        <v>44681</v>
      </c>
      <c r="B41" t="s">
        <v>45</v>
      </c>
      <c r="C41">
        <f>YEAR(data_validation[[#This Row],[DATE]])</f>
        <v>2022</v>
      </c>
      <c r="D41" s="4">
        <v>1.53</v>
      </c>
      <c r="E41" s="4">
        <v>54712</v>
      </c>
      <c r="F41" s="4">
        <v>1254942</v>
      </c>
      <c r="G41" s="4">
        <f>_xlfn.XLOOKUP(data_validation[[#This Row],[DATE]],Table1[DATE],Table1[Deposit facility - date of changes (raw data) - Level (FM.D.U2.EUR.4F.KR.DFR.LEV)],,-1)</f>
        <v>-0.5</v>
      </c>
      <c r="H41" s="4">
        <f>data_validation[[#This Row],[Corporate_Loan_Rate]]-data_validation[[#This Row],[ECB_DFR]]</f>
        <v>2.0300000000000002</v>
      </c>
      <c r="I41" s="5">
        <f>IFERROR(data_validation[[#This Row],[New_Loan_Volume]]/_xlfn.XLOOKUP(EOMONTH(data_validation[[#This Row],[DATE]],-12),data_validation[DATE],data_validation[New_Loan_Volume])-1,"")</f>
        <v>0.44522809520035933</v>
      </c>
      <c r="J41" s="5">
        <f>IFERROR(data_validation[[#This Row],[Loan_Stock]]/_xlfn.XLOOKUP(EOMONTH(data_validation[[#This Row],[DATE]],-12),data_validation[DATE],data_validation[Loan_Stock])-1,"")</f>
        <v>7.1308020839824682E-2</v>
      </c>
      <c r="K41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57793.666666666664</v>
      </c>
      <c r="L41">
        <f>COUNTIF(data_validation[DATE],data_validation[[#This Row],[DATE]])</f>
        <v>1</v>
      </c>
      <c r="M41">
        <f>COUNTBLANK(data_validation[[#This Row],[Corporate_Loan_Rate]])</f>
        <v>0</v>
      </c>
      <c r="N41">
        <f>COUNTBLANK(data_validation[[#This Row],[New_Loan_Volume]])</f>
        <v>0</v>
      </c>
      <c r="O41">
        <f>COUNTBLANK(data_validation[[#This Row],[Loan_Stock]])</f>
        <v>0</v>
      </c>
      <c r="P41">
        <f>COUNTBLANK(data_validation[[#This Row],[ECB_DFR]])</f>
        <v>0</v>
      </c>
      <c r="Q41">
        <f t="shared" si="0"/>
        <v>1</v>
      </c>
      <c r="R41">
        <f>COUNTIF(data_validation[[#This Row],[New_Loan_Volume]],"&lt;0")</f>
        <v>0</v>
      </c>
      <c r="S41">
        <f>COUNTIF(data_validation[[#This Row],[Loan_Stock]],"&lt;0")</f>
        <v>0</v>
      </c>
    </row>
    <row r="42" spans="1:19" x14ac:dyDescent="0.35">
      <c r="A42" s="1">
        <v>44712</v>
      </c>
      <c r="B42" t="s">
        <v>46</v>
      </c>
      <c r="C42">
        <f>YEAR(data_validation[[#This Row],[DATE]])</f>
        <v>2022</v>
      </c>
      <c r="D42" s="4">
        <v>1.41</v>
      </c>
      <c r="E42" s="4">
        <v>59640</v>
      </c>
      <c r="F42" s="4">
        <v>1266067</v>
      </c>
      <c r="G42" s="4">
        <f>_xlfn.XLOOKUP(data_validation[[#This Row],[DATE]],Table1[DATE],Table1[Deposit facility - date of changes (raw data) - Level (FM.D.U2.EUR.4F.KR.DFR.LEV)],,-1)</f>
        <v>-0.5</v>
      </c>
      <c r="H42" s="4">
        <f>data_validation[[#This Row],[Corporate_Loan_Rate]]-data_validation[[#This Row],[ECB_DFR]]</f>
        <v>1.91</v>
      </c>
      <c r="I42" s="5">
        <f>IFERROR(data_validation[[#This Row],[New_Loan_Volume]]/_xlfn.XLOOKUP(EOMONTH(data_validation[[#This Row],[DATE]],-12),data_validation[DATE],data_validation[New_Loan_Volume])-1,"")</f>
        <v>0.40039447731755429</v>
      </c>
      <c r="J42" s="5">
        <f>IFERROR(data_validation[[#This Row],[Loan_Stock]]/_xlfn.XLOOKUP(EOMONTH(data_validation[[#This Row],[DATE]],-12),data_validation[DATE],data_validation[Loan_Stock])-1,"")</f>
        <v>7.5882223474235788E-2</v>
      </c>
      <c r="K42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61677.666666666664</v>
      </c>
      <c r="L42">
        <f>COUNTIF(data_validation[DATE],data_validation[[#This Row],[DATE]])</f>
        <v>1</v>
      </c>
      <c r="M42">
        <f>COUNTBLANK(data_validation[[#This Row],[Corporate_Loan_Rate]])</f>
        <v>0</v>
      </c>
      <c r="N42">
        <f>COUNTBLANK(data_validation[[#This Row],[New_Loan_Volume]])</f>
        <v>0</v>
      </c>
      <c r="O42">
        <f>COUNTBLANK(data_validation[[#This Row],[Loan_Stock]])</f>
        <v>0</v>
      </c>
      <c r="P42">
        <f>COUNTBLANK(data_validation[[#This Row],[ECB_DFR]])</f>
        <v>0</v>
      </c>
      <c r="Q42">
        <f t="shared" si="0"/>
        <v>1</v>
      </c>
      <c r="R42">
        <f>COUNTIF(data_validation[[#This Row],[New_Loan_Volume]],"&lt;0")</f>
        <v>0</v>
      </c>
      <c r="S42">
        <f>COUNTIF(data_validation[[#This Row],[Loan_Stock]],"&lt;0")</f>
        <v>0</v>
      </c>
    </row>
    <row r="43" spans="1:19" x14ac:dyDescent="0.35">
      <c r="A43" s="1">
        <v>44742</v>
      </c>
      <c r="B43" t="s">
        <v>47</v>
      </c>
      <c r="C43">
        <f>YEAR(data_validation[[#This Row],[DATE]])</f>
        <v>2022</v>
      </c>
      <c r="D43" s="4">
        <v>2.37</v>
      </c>
      <c r="E43" s="4">
        <v>94842</v>
      </c>
      <c r="F43" s="4">
        <v>1280408</v>
      </c>
      <c r="G43" s="4">
        <f>_xlfn.XLOOKUP(data_validation[[#This Row],[DATE]],Table1[DATE],Table1[Deposit facility - date of changes (raw data) - Level (FM.D.U2.EUR.4F.KR.DFR.LEV)],,-1)</f>
        <v>-0.5</v>
      </c>
      <c r="H43" s="4">
        <f>data_validation[[#This Row],[Corporate_Loan_Rate]]-data_validation[[#This Row],[ECB_DFR]]</f>
        <v>2.87</v>
      </c>
      <c r="I43" s="5">
        <f>IFERROR(data_validation[[#This Row],[New_Loan_Volume]]/_xlfn.XLOOKUP(EOMONTH(data_validation[[#This Row],[DATE]],-12),data_validation[DATE],data_validation[New_Loan_Volume])-1,"")</f>
        <v>0.71672157260254132</v>
      </c>
      <c r="J43" s="5">
        <f>IFERROR(data_validation[[#This Row],[Loan_Stock]]/_xlfn.XLOOKUP(EOMONTH(data_validation[[#This Row],[DATE]],-12),data_validation[DATE],data_validation[Loan_Stock])-1,"")</f>
        <v>9.2322142589633671E-2</v>
      </c>
      <c r="K43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69731.333333333328</v>
      </c>
      <c r="L43">
        <f>COUNTIF(data_validation[DATE],data_validation[[#This Row],[DATE]])</f>
        <v>1</v>
      </c>
      <c r="M43">
        <f>COUNTBLANK(data_validation[[#This Row],[Corporate_Loan_Rate]])</f>
        <v>0</v>
      </c>
      <c r="N43">
        <f>COUNTBLANK(data_validation[[#This Row],[New_Loan_Volume]])</f>
        <v>0</v>
      </c>
      <c r="O43">
        <f>COUNTBLANK(data_validation[[#This Row],[Loan_Stock]])</f>
        <v>0</v>
      </c>
      <c r="P43">
        <f>COUNTBLANK(data_validation[[#This Row],[ECB_DFR]])</f>
        <v>0</v>
      </c>
      <c r="Q43">
        <f t="shared" si="0"/>
        <v>1</v>
      </c>
      <c r="R43">
        <f>COUNTIF(data_validation[[#This Row],[New_Loan_Volume]],"&lt;0")</f>
        <v>0</v>
      </c>
      <c r="S43">
        <f>COUNTIF(data_validation[[#This Row],[Loan_Stock]],"&lt;0")</f>
        <v>0</v>
      </c>
    </row>
    <row r="44" spans="1:19" x14ac:dyDescent="0.35">
      <c r="A44" s="1">
        <v>44773</v>
      </c>
      <c r="B44" t="s">
        <v>48</v>
      </c>
      <c r="C44">
        <f>YEAR(data_validation[[#This Row],[DATE]])</f>
        <v>2022</v>
      </c>
      <c r="D44" s="4">
        <v>1.94</v>
      </c>
      <c r="E44" s="4">
        <v>58260</v>
      </c>
      <c r="F44" s="4">
        <v>1297883</v>
      </c>
      <c r="G44" s="4">
        <f>_xlfn.XLOOKUP(data_validation[[#This Row],[DATE]],Table1[DATE],Table1[Deposit facility - date of changes (raw data) - Level (FM.D.U2.EUR.4F.KR.DFR.LEV)],,-1)</f>
        <v>0</v>
      </c>
      <c r="H44" s="4">
        <f>data_validation[[#This Row],[Corporate_Loan_Rate]]-data_validation[[#This Row],[ECB_DFR]]</f>
        <v>1.94</v>
      </c>
      <c r="I44" s="5">
        <f>IFERROR(data_validation[[#This Row],[New_Loan_Volume]]/_xlfn.XLOOKUP(EOMONTH(data_validation[[#This Row],[DATE]],-12),data_validation[DATE],data_validation[New_Loan_Volume])-1,"")</f>
        <v>0.18143288787946377</v>
      </c>
      <c r="J44" s="5">
        <f>IFERROR(data_validation[[#This Row],[Loan_Stock]]/_xlfn.XLOOKUP(EOMONTH(data_validation[[#This Row],[DATE]],-12),data_validation[DATE],data_validation[Loan_Stock])-1,"")</f>
        <v>0.10017589143048466</v>
      </c>
      <c r="K44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70914</v>
      </c>
      <c r="L44">
        <f>COUNTIF(data_validation[DATE],data_validation[[#This Row],[DATE]])</f>
        <v>1</v>
      </c>
      <c r="M44">
        <f>COUNTBLANK(data_validation[[#This Row],[Corporate_Loan_Rate]])</f>
        <v>0</v>
      </c>
      <c r="N44">
        <f>COUNTBLANK(data_validation[[#This Row],[New_Loan_Volume]])</f>
        <v>0</v>
      </c>
      <c r="O44">
        <f>COUNTBLANK(data_validation[[#This Row],[Loan_Stock]])</f>
        <v>0</v>
      </c>
      <c r="P44">
        <f>COUNTBLANK(data_validation[[#This Row],[ECB_DFR]])</f>
        <v>0</v>
      </c>
      <c r="Q44">
        <f t="shared" si="0"/>
        <v>1</v>
      </c>
      <c r="R44">
        <f>COUNTIF(data_validation[[#This Row],[New_Loan_Volume]],"&lt;0")</f>
        <v>0</v>
      </c>
      <c r="S44">
        <f>COUNTIF(data_validation[[#This Row],[Loan_Stock]],"&lt;0")</f>
        <v>0</v>
      </c>
    </row>
    <row r="45" spans="1:19" x14ac:dyDescent="0.35">
      <c r="A45" s="1">
        <v>44804</v>
      </c>
      <c r="B45" t="s">
        <v>49</v>
      </c>
      <c r="C45">
        <f>YEAR(data_validation[[#This Row],[DATE]])</f>
        <v>2022</v>
      </c>
      <c r="D45" s="4">
        <v>2.1</v>
      </c>
      <c r="E45" s="4">
        <v>66993</v>
      </c>
      <c r="F45" s="4">
        <v>1327547</v>
      </c>
      <c r="G45" s="4">
        <f>_xlfn.XLOOKUP(data_validation[[#This Row],[DATE]],Table1[DATE],Table1[Deposit facility - date of changes (raw data) - Level (FM.D.U2.EUR.4F.KR.DFR.LEV)],,-1)</f>
        <v>0</v>
      </c>
      <c r="H45" s="4">
        <f>data_validation[[#This Row],[Corporate_Loan_Rate]]-data_validation[[#This Row],[ECB_DFR]]</f>
        <v>2.1</v>
      </c>
      <c r="I45" s="5">
        <f>IFERROR(data_validation[[#This Row],[New_Loan_Volume]]/_xlfn.XLOOKUP(EOMONTH(data_validation[[#This Row],[DATE]],-12),data_validation[DATE],data_validation[New_Loan_Volume])-1,"")</f>
        <v>0.70430955530680772</v>
      </c>
      <c r="J45" s="5">
        <f>IFERROR(data_validation[[#This Row],[Loan_Stock]]/_xlfn.XLOOKUP(EOMONTH(data_validation[[#This Row],[DATE]],-12),data_validation[DATE],data_validation[Loan_Stock])-1,"")</f>
        <v>0.12063043465415313</v>
      </c>
      <c r="K45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73365</v>
      </c>
      <c r="L45">
        <f>COUNTIF(data_validation[DATE],data_validation[[#This Row],[DATE]])</f>
        <v>1</v>
      </c>
      <c r="M45">
        <f>COUNTBLANK(data_validation[[#This Row],[Corporate_Loan_Rate]])</f>
        <v>0</v>
      </c>
      <c r="N45">
        <f>COUNTBLANK(data_validation[[#This Row],[New_Loan_Volume]])</f>
        <v>0</v>
      </c>
      <c r="O45">
        <f>COUNTBLANK(data_validation[[#This Row],[Loan_Stock]])</f>
        <v>0</v>
      </c>
      <c r="P45">
        <f>COUNTBLANK(data_validation[[#This Row],[ECB_DFR]])</f>
        <v>0</v>
      </c>
      <c r="Q45">
        <f t="shared" si="0"/>
        <v>1</v>
      </c>
      <c r="R45">
        <f>COUNTIF(data_validation[[#This Row],[New_Loan_Volume]],"&lt;0")</f>
        <v>0</v>
      </c>
      <c r="S45">
        <f>COUNTIF(data_validation[[#This Row],[Loan_Stock]],"&lt;0")</f>
        <v>0</v>
      </c>
    </row>
    <row r="46" spans="1:19" x14ac:dyDescent="0.35">
      <c r="A46" s="1">
        <v>44834</v>
      </c>
      <c r="B46" t="s">
        <v>50</v>
      </c>
      <c r="C46">
        <f>YEAR(data_validation[[#This Row],[DATE]])</f>
        <v>2022</v>
      </c>
      <c r="D46" s="4">
        <v>2.85</v>
      </c>
      <c r="E46" s="4">
        <v>70879</v>
      </c>
      <c r="F46" s="4">
        <v>1337897</v>
      </c>
      <c r="G46" s="4">
        <f>_xlfn.XLOOKUP(data_validation[[#This Row],[DATE]],Table1[DATE],Table1[Deposit facility - date of changes (raw data) - Level (FM.D.U2.EUR.4F.KR.DFR.LEV)],,-1)</f>
        <v>0.75</v>
      </c>
      <c r="H46" s="4">
        <f>data_validation[[#This Row],[Corporate_Loan_Rate]]-data_validation[[#This Row],[ECB_DFR]]</f>
        <v>2.1</v>
      </c>
      <c r="I46" s="5">
        <f>IFERROR(data_validation[[#This Row],[New_Loan_Volume]]/_xlfn.XLOOKUP(EOMONTH(data_validation[[#This Row],[DATE]],-12),data_validation[DATE],data_validation[New_Loan_Volume])-1,"")</f>
        <v>0.54319616808186377</v>
      </c>
      <c r="J46" s="5">
        <f>IFERROR(data_validation[[#This Row],[Loan_Stock]]/_xlfn.XLOOKUP(EOMONTH(data_validation[[#This Row],[DATE]],-12),data_validation[DATE],data_validation[Loan_Stock])-1,"")</f>
        <v>0.12936915065407995</v>
      </c>
      <c r="K46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65377.333333333336</v>
      </c>
      <c r="L46">
        <f>COUNTIF(data_validation[DATE],data_validation[[#This Row],[DATE]])</f>
        <v>1</v>
      </c>
      <c r="M46">
        <f>COUNTBLANK(data_validation[[#This Row],[Corporate_Loan_Rate]])</f>
        <v>0</v>
      </c>
      <c r="N46">
        <f>COUNTBLANK(data_validation[[#This Row],[New_Loan_Volume]])</f>
        <v>0</v>
      </c>
      <c r="O46">
        <f>COUNTBLANK(data_validation[[#This Row],[Loan_Stock]])</f>
        <v>0</v>
      </c>
      <c r="P46">
        <f>COUNTBLANK(data_validation[[#This Row],[ECB_DFR]])</f>
        <v>0</v>
      </c>
      <c r="Q46">
        <f t="shared" si="0"/>
        <v>1</v>
      </c>
      <c r="R46">
        <f>COUNTIF(data_validation[[#This Row],[New_Loan_Volume]],"&lt;0")</f>
        <v>0</v>
      </c>
      <c r="S46">
        <f>COUNTIF(data_validation[[#This Row],[Loan_Stock]],"&lt;0")</f>
        <v>0</v>
      </c>
    </row>
    <row r="47" spans="1:19" x14ac:dyDescent="0.35">
      <c r="A47" s="1">
        <v>44865</v>
      </c>
      <c r="B47" t="s">
        <v>51</v>
      </c>
      <c r="C47">
        <f>YEAR(data_validation[[#This Row],[DATE]])</f>
        <v>2022</v>
      </c>
      <c r="D47" s="4">
        <v>2.97</v>
      </c>
      <c r="E47" s="4">
        <v>63154</v>
      </c>
      <c r="F47" s="4">
        <v>1352001</v>
      </c>
      <c r="G47" s="4">
        <f>_xlfn.XLOOKUP(data_validation[[#This Row],[DATE]],Table1[DATE],Table1[Deposit facility - date of changes (raw data) - Level (FM.D.U2.EUR.4F.KR.DFR.LEV)],,-1)</f>
        <v>0.75</v>
      </c>
      <c r="H47" s="4">
        <f>data_validation[[#This Row],[Corporate_Loan_Rate]]-data_validation[[#This Row],[ECB_DFR]]</f>
        <v>2.2200000000000002</v>
      </c>
      <c r="I47" s="5">
        <f>IFERROR(data_validation[[#This Row],[New_Loan_Volume]]/_xlfn.XLOOKUP(EOMONTH(data_validation[[#This Row],[DATE]],-12),data_validation[DATE],data_validation[New_Loan_Volume])-1,"")</f>
        <v>0.23787682778627151</v>
      </c>
      <c r="J47" s="5">
        <f>IFERROR(data_validation[[#This Row],[Loan_Stock]]/_xlfn.XLOOKUP(EOMONTH(data_validation[[#This Row],[DATE]],-12),data_validation[DATE],data_validation[Loan_Stock])-1,"")</f>
        <v>0.12725837126293693</v>
      </c>
      <c r="K47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67008.666666666672</v>
      </c>
      <c r="L47">
        <f>COUNTIF(data_validation[DATE],data_validation[[#This Row],[DATE]])</f>
        <v>1</v>
      </c>
      <c r="M47">
        <f>COUNTBLANK(data_validation[[#This Row],[Corporate_Loan_Rate]])</f>
        <v>0</v>
      </c>
      <c r="N47">
        <f>COUNTBLANK(data_validation[[#This Row],[New_Loan_Volume]])</f>
        <v>0</v>
      </c>
      <c r="O47">
        <f>COUNTBLANK(data_validation[[#This Row],[Loan_Stock]])</f>
        <v>0</v>
      </c>
      <c r="P47">
        <f>COUNTBLANK(data_validation[[#This Row],[ECB_DFR]])</f>
        <v>0</v>
      </c>
      <c r="Q47">
        <f t="shared" si="0"/>
        <v>1</v>
      </c>
      <c r="R47">
        <f>COUNTIF(data_validation[[#This Row],[New_Loan_Volume]],"&lt;0")</f>
        <v>0</v>
      </c>
      <c r="S47">
        <f>COUNTIF(data_validation[[#This Row],[Loan_Stock]],"&lt;0")</f>
        <v>0</v>
      </c>
    </row>
    <row r="48" spans="1:19" x14ac:dyDescent="0.35">
      <c r="A48" s="1">
        <v>44895</v>
      </c>
      <c r="B48" t="s">
        <v>52</v>
      </c>
      <c r="C48">
        <f>YEAR(data_validation[[#This Row],[DATE]])</f>
        <v>2022</v>
      </c>
      <c r="D48" s="4">
        <v>3.14</v>
      </c>
      <c r="E48" s="4">
        <v>56210</v>
      </c>
      <c r="F48" s="4">
        <v>1357605</v>
      </c>
      <c r="G48" s="4">
        <f>_xlfn.XLOOKUP(data_validation[[#This Row],[DATE]],Table1[DATE],Table1[Deposit facility - date of changes (raw data) - Level (FM.D.U2.EUR.4F.KR.DFR.LEV)],,-1)</f>
        <v>1.5</v>
      </c>
      <c r="H48" s="4">
        <f>data_validation[[#This Row],[Corporate_Loan_Rate]]-data_validation[[#This Row],[ECB_DFR]]</f>
        <v>1.6400000000000001</v>
      </c>
      <c r="I48" s="5">
        <f>IFERROR(data_validation[[#This Row],[New_Loan_Volume]]/_xlfn.XLOOKUP(EOMONTH(data_validation[[#This Row],[DATE]],-12),data_validation[DATE],data_validation[New_Loan_Volume])-1,"")</f>
        <v>-5.7486512779694188E-3</v>
      </c>
      <c r="J48" s="5">
        <f>IFERROR(data_validation[[#This Row],[Loan_Stock]]/_xlfn.XLOOKUP(EOMONTH(data_validation[[#This Row],[DATE]],-12),data_validation[DATE],data_validation[Loan_Stock])-1,"")</f>
        <v>0.12248576434334901</v>
      </c>
      <c r="K48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63414.333333333336</v>
      </c>
      <c r="L48">
        <f>COUNTIF(data_validation[DATE],data_validation[[#This Row],[DATE]])</f>
        <v>1</v>
      </c>
      <c r="M48">
        <f>COUNTBLANK(data_validation[[#This Row],[Corporate_Loan_Rate]])</f>
        <v>0</v>
      </c>
      <c r="N48">
        <f>COUNTBLANK(data_validation[[#This Row],[New_Loan_Volume]])</f>
        <v>0</v>
      </c>
      <c r="O48">
        <f>COUNTBLANK(data_validation[[#This Row],[Loan_Stock]])</f>
        <v>0</v>
      </c>
      <c r="P48">
        <f>COUNTBLANK(data_validation[[#This Row],[ECB_DFR]])</f>
        <v>0</v>
      </c>
      <c r="Q48">
        <f t="shared" si="0"/>
        <v>1</v>
      </c>
      <c r="R48">
        <f>COUNTIF(data_validation[[#This Row],[New_Loan_Volume]],"&lt;0")</f>
        <v>0</v>
      </c>
      <c r="S48">
        <f>COUNTIF(data_validation[[#This Row],[Loan_Stock]],"&lt;0")</f>
        <v>0</v>
      </c>
    </row>
    <row r="49" spans="1:19" x14ac:dyDescent="0.35">
      <c r="A49" s="1">
        <v>44926</v>
      </c>
      <c r="B49" t="s">
        <v>53</v>
      </c>
      <c r="C49">
        <f>YEAR(data_validation[[#This Row],[DATE]])</f>
        <v>2022</v>
      </c>
      <c r="D49" s="4">
        <v>3.46</v>
      </c>
      <c r="E49" s="4">
        <v>74461</v>
      </c>
      <c r="F49" s="4">
        <v>1333221</v>
      </c>
      <c r="G49" s="4">
        <f>_xlfn.XLOOKUP(data_validation[[#This Row],[DATE]],Table1[DATE],Table1[Deposit facility - date of changes (raw data) - Level (FM.D.U2.EUR.4F.KR.DFR.LEV)],,-1)</f>
        <v>2</v>
      </c>
      <c r="H49" s="4">
        <f>data_validation[[#This Row],[Corporate_Loan_Rate]]-data_validation[[#This Row],[ECB_DFR]]</f>
        <v>1.46</v>
      </c>
      <c r="I49" s="5">
        <f>IFERROR(data_validation[[#This Row],[New_Loan_Volume]]/_xlfn.XLOOKUP(EOMONTH(data_validation[[#This Row],[DATE]],-12),data_validation[DATE],data_validation[New_Loan_Volume])-1,"")</f>
        <v>-1.9643727041723125E-2</v>
      </c>
      <c r="J49" s="5">
        <f>IFERROR(data_validation[[#This Row],[Loan_Stock]]/_xlfn.XLOOKUP(EOMONTH(data_validation[[#This Row],[DATE]],-12),data_validation[DATE],data_validation[Loan_Stock])-1,"")</f>
        <v>9.6556659058663952E-2</v>
      </c>
      <c r="K49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64608.333333333336</v>
      </c>
      <c r="L49">
        <f>COUNTIF(data_validation[DATE],data_validation[[#This Row],[DATE]])</f>
        <v>1</v>
      </c>
      <c r="M49">
        <f>COUNTBLANK(data_validation[[#This Row],[Corporate_Loan_Rate]])</f>
        <v>0</v>
      </c>
      <c r="N49">
        <f>COUNTBLANK(data_validation[[#This Row],[New_Loan_Volume]])</f>
        <v>0</v>
      </c>
      <c r="O49">
        <f>COUNTBLANK(data_validation[[#This Row],[Loan_Stock]])</f>
        <v>0</v>
      </c>
      <c r="P49">
        <f>COUNTBLANK(data_validation[[#This Row],[ECB_DFR]])</f>
        <v>0</v>
      </c>
      <c r="Q49">
        <f t="shared" si="0"/>
        <v>1</v>
      </c>
      <c r="R49">
        <f>COUNTIF(data_validation[[#This Row],[New_Loan_Volume]],"&lt;0")</f>
        <v>0</v>
      </c>
      <c r="S49">
        <f>COUNTIF(data_validation[[#This Row],[Loan_Stock]],"&lt;0")</f>
        <v>0</v>
      </c>
    </row>
    <row r="50" spans="1:19" x14ac:dyDescent="0.35">
      <c r="A50" s="1">
        <v>44957</v>
      </c>
      <c r="B50" t="s">
        <v>54</v>
      </c>
      <c r="C50">
        <f>YEAR(data_validation[[#This Row],[DATE]])</f>
        <v>2023</v>
      </c>
      <c r="D50" s="4">
        <v>3.56</v>
      </c>
      <c r="E50" s="4">
        <v>58268</v>
      </c>
      <c r="F50" s="4">
        <v>1344747</v>
      </c>
      <c r="G50" s="4">
        <f>_xlfn.XLOOKUP(data_validation[[#This Row],[DATE]],Table1[DATE],Table1[Deposit facility - date of changes (raw data) - Level (FM.D.U2.EUR.4F.KR.DFR.LEV)],,-1)</f>
        <v>2</v>
      </c>
      <c r="H50" s="4">
        <f>data_validation[[#This Row],[Corporate_Loan_Rate]]-data_validation[[#This Row],[ECB_DFR]]</f>
        <v>1.56</v>
      </c>
      <c r="I50" s="5">
        <f>IFERROR(data_validation[[#This Row],[New_Loan_Volume]]/_xlfn.XLOOKUP(EOMONTH(data_validation[[#This Row],[DATE]],-12),data_validation[DATE],data_validation[New_Loan_Volume])-1,"")</f>
        <v>0.33083616928945014</v>
      </c>
      <c r="J50" s="5">
        <f>IFERROR(data_validation[[#This Row],[Loan_Stock]]/_xlfn.XLOOKUP(EOMONTH(data_validation[[#This Row],[DATE]],-12),data_validation[DATE],data_validation[Loan_Stock])-1,"")</f>
        <v>9.8742867040990445E-2</v>
      </c>
      <c r="K50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62979.666666666664</v>
      </c>
      <c r="L50">
        <f>COUNTIF(data_validation[DATE],data_validation[[#This Row],[DATE]])</f>
        <v>1</v>
      </c>
      <c r="M50">
        <f>COUNTBLANK(data_validation[[#This Row],[Corporate_Loan_Rate]])</f>
        <v>0</v>
      </c>
      <c r="N50">
        <f>COUNTBLANK(data_validation[[#This Row],[New_Loan_Volume]])</f>
        <v>0</v>
      </c>
      <c r="O50">
        <f>COUNTBLANK(data_validation[[#This Row],[Loan_Stock]])</f>
        <v>0</v>
      </c>
      <c r="P50">
        <f>COUNTBLANK(data_validation[[#This Row],[ECB_DFR]])</f>
        <v>0</v>
      </c>
      <c r="Q50">
        <f t="shared" si="0"/>
        <v>1</v>
      </c>
      <c r="R50">
        <f>COUNTIF(data_validation[[#This Row],[New_Loan_Volume]],"&lt;0")</f>
        <v>0</v>
      </c>
      <c r="S50">
        <f>COUNTIF(data_validation[[#This Row],[Loan_Stock]],"&lt;0")</f>
        <v>0</v>
      </c>
    </row>
    <row r="51" spans="1:19" x14ac:dyDescent="0.35">
      <c r="A51" s="1">
        <v>44985</v>
      </c>
      <c r="B51" t="s">
        <v>55</v>
      </c>
      <c r="C51">
        <f>YEAR(data_validation[[#This Row],[DATE]])</f>
        <v>2023</v>
      </c>
      <c r="D51" s="4">
        <v>3.89</v>
      </c>
      <c r="E51" s="4">
        <v>65700</v>
      </c>
      <c r="F51" s="4">
        <v>1347799</v>
      </c>
      <c r="G51" s="4">
        <f>_xlfn.XLOOKUP(data_validation[[#This Row],[DATE]],Table1[DATE],Table1[Deposit facility - date of changes (raw data) - Level (FM.D.U2.EUR.4F.KR.DFR.LEV)],,-1)</f>
        <v>2.5</v>
      </c>
      <c r="H51" s="4">
        <f>data_validation[[#This Row],[Corporate_Loan_Rate]]-data_validation[[#This Row],[ECB_DFR]]</f>
        <v>1.3900000000000001</v>
      </c>
      <c r="I51" s="5">
        <f>IFERROR(data_validation[[#This Row],[New_Loan_Volume]]/_xlfn.XLOOKUP(EOMONTH(data_validation[[#This Row],[DATE]],-12),data_validation[DATE],data_validation[New_Loan_Volume])-1,"")</f>
        <v>0.36909227306826708</v>
      </c>
      <c r="J51" s="5">
        <f>IFERROR(data_validation[[#This Row],[Loan_Stock]]/_xlfn.XLOOKUP(EOMONTH(data_validation[[#This Row],[DATE]],-12),data_validation[DATE],data_validation[Loan_Stock])-1,"")</f>
        <v>9.096508957689653E-2</v>
      </c>
      <c r="K51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66143</v>
      </c>
      <c r="L51">
        <f>COUNTIF(data_validation[DATE],data_validation[[#This Row],[DATE]])</f>
        <v>1</v>
      </c>
      <c r="M51">
        <f>COUNTBLANK(data_validation[[#This Row],[Corporate_Loan_Rate]])</f>
        <v>0</v>
      </c>
      <c r="N51">
        <f>COUNTBLANK(data_validation[[#This Row],[New_Loan_Volume]])</f>
        <v>0</v>
      </c>
      <c r="O51">
        <f>COUNTBLANK(data_validation[[#This Row],[Loan_Stock]])</f>
        <v>0</v>
      </c>
      <c r="P51">
        <f>COUNTBLANK(data_validation[[#This Row],[ECB_DFR]])</f>
        <v>0</v>
      </c>
      <c r="Q51">
        <f t="shared" si="0"/>
        <v>1</v>
      </c>
      <c r="R51">
        <f>COUNTIF(data_validation[[#This Row],[New_Loan_Volume]],"&lt;0")</f>
        <v>0</v>
      </c>
      <c r="S51">
        <f>COUNTIF(data_validation[[#This Row],[Loan_Stock]],"&lt;0")</f>
        <v>0</v>
      </c>
    </row>
    <row r="52" spans="1:19" x14ac:dyDescent="0.35">
      <c r="A52" s="1">
        <v>45016</v>
      </c>
      <c r="B52" t="s">
        <v>56</v>
      </c>
      <c r="C52">
        <f>YEAR(data_validation[[#This Row],[DATE]])</f>
        <v>2023</v>
      </c>
      <c r="D52" s="4">
        <v>4.43</v>
      </c>
      <c r="E52" s="4">
        <v>72597</v>
      </c>
      <c r="F52" s="4">
        <v>1343250</v>
      </c>
      <c r="G52" s="4">
        <f>_xlfn.XLOOKUP(data_validation[[#This Row],[DATE]],Table1[DATE],Table1[Deposit facility - date of changes (raw data) - Level (FM.D.U2.EUR.4F.KR.DFR.LEV)],,-1)</f>
        <v>3</v>
      </c>
      <c r="H52" s="4">
        <f>data_validation[[#This Row],[Corporate_Loan_Rate]]-data_validation[[#This Row],[ECB_DFR]]</f>
        <v>1.4299999999999997</v>
      </c>
      <c r="I52" s="5">
        <f>IFERROR(data_validation[[#This Row],[New_Loan_Volume]]/_xlfn.XLOOKUP(EOMONTH(data_validation[[#This Row],[DATE]],-12),data_validation[DATE],data_validation[New_Loan_Volume])-1,"")</f>
        <v>2.7107709285380865E-2</v>
      </c>
      <c r="J52" s="5">
        <f>IFERROR(data_validation[[#This Row],[Loan_Stock]]/_xlfn.XLOOKUP(EOMONTH(data_validation[[#This Row],[DATE]],-12),data_validation[DATE],data_validation[Loan_Stock])-1,"")</f>
        <v>7.8833342034142051E-2</v>
      </c>
      <c r="K52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65521.666666666664</v>
      </c>
      <c r="L52">
        <f>COUNTIF(data_validation[DATE],data_validation[[#This Row],[DATE]])</f>
        <v>1</v>
      </c>
      <c r="M52">
        <f>COUNTBLANK(data_validation[[#This Row],[Corporate_Loan_Rate]])</f>
        <v>0</v>
      </c>
      <c r="N52">
        <f>COUNTBLANK(data_validation[[#This Row],[New_Loan_Volume]])</f>
        <v>0</v>
      </c>
      <c r="O52">
        <f>COUNTBLANK(data_validation[[#This Row],[Loan_Stock]])</f>
        <v>0</v>
      </c>
      <c r="P52">
        <f>COUNTBLANK(data_validation[[#This Row],[ECB_DFR]])</f>
        <v>0</v>
      </c>
      <c r="Q52">
        <f t="shared" si="0"/>
        <v>1</v>
      </c>
      <c r="R52">
        <f>COUNTIF(data_validation[[#This Row],[New_Loan_Volume]],"&lt;0")</f>
        <v>0</v>
      </c>
      <c r="S52">
        <f>COUNTIF(data_validation[[#This Row],[Loan_Stock]],"&lt;0")</f>
        <v>0</v>
      </c>
    </row>
    <row r="53" spans="1:19" x14ac:dyDescent="0.35">
      <c r="A53" s="1">
        <v>45046</v>
      </c>
      <c r="B53" t="s">
        <v>57</v>
      </c>
      <c r="C53">
        <f>YEAR(data_validation[[#This Row],[DATE]])</f>
        <v>2023</v>
      </c>
      <c r="D53" s="4">
        <v>4.4400000000000004</v>
      </c>
      <c r="E53" s="4">
        <v>50533</v>
      </c>
      <c r="F53" s="4">
        <v>1348573</v>
      </c>
      <c r="G53" s="4">
        <f>_xlfn.XLOOKUP(data_validation[[#This Row],[DATE]],Table1[DATE],Table1[Deposit facility - date of changes (raw data) - Level (FM.D.U2.EUR.4F.KR.DFR.LEV)],,-1)</f>
        <v>3</v>
      </c>
      <c r="H53" s="4">
        <f>data_validation[[#This Row],[Corporate_Loan_Rate]]-data_validation[[#This Row],[ECB_DFR]]</f>
        <v>1.4400000000000004</v>
      </c>
      <c r="I53" s="5">
        <f>IFERROR(data_validation[[#This Row],[New_Loan_Volume]]/_xlfn.XLOOKUP(EOMONTH(data_validation[[#This Row],[DATE]],-12),data_validation[DATE],data_validation[New_Loan_Volume])-1,"")</f>
        <v>-7.6381780962128998E-2</v>
      </c>
      <c r="J53" s="5">
        <f>IFERROR(data_validation[[#This Row],[Loan_Stock]]/_xlfn.XLOOKUP(EOMONTH(data_validation[[#This Row],[DATE]],-12),data_validation[DATE],data_validation[Loan_Stock])-1,"")</f>
        <v>7.4609822605347542E-2</v>
      </c>
      <c r="K53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62943.333333333336</v>
      </c>
      <c r="L53">
        <f>COUNTIF(data_validation[DATE],data_validation[[#This Row],[DATE]])</f>
        <v>1</v>
      </c>
      <c r="M53">
        <f>COUNTBLANK(data_validation[[#This Row],[Corporate_Loan_Rate]])</f>
        <v>0</v>
      </c>
      <c r="N53">
        <f>COUNTBLANK(data_validation[[#This Row],[New_Loan_Volume]])</f>
        <v>0</v>
      </c>
      <c r="O53">
        <f>COUNTBLANK(data_validation[[#This Row],[Loan_Stock]])</f>
        <v>0</v>
      </c>
      <c r="P53">
        <f>COUNTBLANK(data_validation[[#This Row],[ECB_DFR]])</f>
        <v>0</v>
      </c>
      <c r="Q53">
        <f t="shared" si="0"/>
        <v>1</v>
      </c>
      <c r="R53">
        <f>COUNTIF(data_validation[[#This Row],[New_Loan_Volume]],"&lt;0")</f>
        <v>0</v>
      </c>
      <c r="S53">
        <f>COUNTIF(data_validation[[#This Row],[Loan_Stock]],"&lt;0")</f>
        <v>0</v>
      </c>
    </row>
    <row r="54" spans="1:19" x14ac:dyDescent="0.35">
      <c r="A54" s="1">
        <v>45077</v>
      </c>
      <c r="B54" t="s">
        <v>58</v>
      </c>
      <c r="C54">
        <f>YEAR(data_validation[[#This Row],[DATE]])</f>
        <v>2023</v>
      </c>
      <c r="D54" s="4">
        <v>4.66</v>
      </c>
      <c r="E54" s="4">
        <v>58226</v>
      </c>
      <c r="F54" s="4">
        <v>1360814</v>
      </c>
      <c r="G54" s="4">
        <f>_xlfn.XLOOKUP(data_validation[[#This Row],[DATE]],Table1[DATE],Table1[Deposit facility - date of changes (raw data) - Level (FM.D.U2.EUR.4F.KR.DFR.LEV)],,-1)</f>
        <v>3.25</v>
      </c>
      <c r="H54" s="4">
        <f>data_validation[[#This Row],[Corporate_Loan_Rate]]-data_validation[[#This Row],[ECB_DFR]]</f>
        <v>1.4100000000000001</v>
      </c>
      <c r="I54" s="5">
        <f>IFERROR(data_validation[[#This Row],[New_Loan_Volume]]/_xlfn.XLOOKUP(EOMONTH(data_validation[[#This Row],[DATE]],-12),data_validation[DATE],data_validation[New_Loan_Volume])-1,"")</f>
        <v>-2.370892018779347E-2</v>
      </c>
      <c r="J54" s="5">
        <f>IFERROR(data_validation[[#This Row],[Loan_Stock]]/_xlfn.XLOOKUP(EOMONTH(data_validation[[#This Row],[DATE]],-12),data_validation[DATE],data_validation[Loan_Stock])-1,"")</f>
        <v>7.4835691949951988E-2</v>
      </c>
      <c r="K54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60452</v>
      </c>
      <c r="L54">
        <f>COUNTIF(data_validation[DATE],data_validation[[#This Row],[DATE]])</f>
        <v>1</v>
      </c>
      <c r="M54">
        <f>COUNTBLANK(data_validation[[#This Row],[Corporate_Loan_Rate]])</f>
        <v>0</v>
      </c>
      <c r="N54">
        <f>COUNTBLANK(data_validation[[#This Row],[New_Loan_Volume]])</f>
        <v>0</v>
      </c>
      <c r="O54">
        <f>COUNTBLANK(data_validation[[#This Row],[Loan_Stock]])</f>
        <v>0</v>
      </c>
      <c r="P54">
        <f>COUNTBLANK(data_validation[[#This Row],[ECB_DFR]])</f>
        <v>0</v>
      </c>
      <c r="Q54">
        <f t="shared" si="0"/>
        <v>1</v>
      </c>
      <c r="R54">
        <f>COUNTIF(data_validation[[#This Row],[New_Loan_Volume]],"&lt;0")</f>
        <v>0</v>
      </c>
      <c r="S54">
        <f>COUNTIF(data_validation[[#This Row],[Loan_Stock]],"&lt;0")</f>
        <v>0</v>
      </c>
    </row>
    <row r="55" spans="1:19" x14ac:dyDescent="0.35">
      <c r="A55" s="1">
        <v>45107</v>
      </c>
      <c r="B55" t="s">
        <v>59</v>
      </c>
      <c r="C55">
        <f>YEAR(data_validation[[#This Row],[DATE]])</f>
        <v>2023</v>
      </c>
      <c r="D55" s="4">
        <v>4.87</v>
      </c>
      <c r="E55" s="4">
        <v>67654</v>
      </c>
      <c r="F55" s="4">
        <v>1355906</v>
      </c>
      <c r="G55" s="4">
        <f>_xlfn.XLOOKUP(data_validation[[#This Row],[DATE]],Table1[DATE],Table1[Deposit facility - date of changes (raw data) - Level (FM.D.U2.EUR.4F.KR.DFR.LEV)],,-1)</f>
        <v>3.5</v>
      </c>
      <c r="H55" s="4">
        <f>data_validation[[#This Row],[Corporate_Loan_Rate]]-data_validation[[#This Row],[ECB_DFR]]</f>
        <v>1.37</v>
      </c>
      <c r="I55" s="5">
        <f>IFERROR(data_validation[[#This Row],[New_Loan_Volume]]/_xlfn.XLOOKUP(EOMONTH(data_validation[[#This Row],[DATE]],-12),data_validation[DATE],data_validation[New_Loan_Volume])-1,"")</f>
        <v>-0.28666624491259152</v>
      </c>
      <c r="J55" s="5">
        <f>IFERROR(data_validation[[#This Row],[Loan_Stock]]/_xlfn.XLOOKUP(EOMONTH(data_validation[[#This Row],[DATE]],-12),data_validation[DATE],data_validation[Loan_Stock])-1,"")</f>
        <v>5.8964017719352002E-2</v>
      </c>
      <c r="K55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58804.333333333336</v>
      </c>
      <c r="L55">
        <f>COUNTIF(data_validation[DATE],data_validation[[#This Row],[DATE]])</f>
        <v>1</v>
      </c>
      <c r="M55">
        <f>COUNTBLANK(data_validation[[#This Row],[Corporate_Loan_Rate]])</f>
        <v>0</v>
      </c>
      <c r="N55">
        <f>COUNTBLANK(data_validation[[#This Row],[New_Loan_Volume]])</f>
        <v>0</v>
      </c>
      <c r="O55">
        <f>COUNTBLANK(data_validation[[#This Row],[Loan_Stock]])</f>
        <v>0</v>
      </c>
      <c r="P55">
        <f>COUNTBLANK(data_validation[[#This Row],[ECB_DFR]])</f>
        <v>0</v>
      </c>
      <c r="Q55">
        <f t="shared" si="0"/>
        <v>1</v>
      </c>
      <c r="R55">
        <f>COUNTIF(data_validation[[#This Row],[New_Loan_Volume]],"&lt;0")</f>
        <v>0</v>
      </c>
      <c r="S55">
        <f>COUNTIF(data_validation[[#This Row],[Loan_Stock]],"&lt;0")</f>
        <v>0</v>
      </c>
    </row>
    <row r="56" spans="1:19" x14ac:dyDescent="0.35">
      <c r="A56" s="1">
        <v>45138</v>
      </c>
      <c r="B56" t="s">
        <v>60</v>
      </c>
      <c r="C56">
        <f>YEAR(data_validation[[#This Row],[DATE]])</f>
        <v>2023</v>
      </c>
      <c r="D56" s="4">
        <v>5.15</v>
      </c>
      <c r="E56" s="4">
        <v>57453</v>
      </c>
      <c r="F56" s="4">
        <v>1360956</v>
      </c>
      <c r="G56" s="4">
        <f>_xlfn.XLOOKUP(data_validation[[#This Row],[DATE]],Table1[DATE],Table1[Deposit facility - date of changes (raw data) - Level (FM.D.U2.EUR.4F.KR.DFR.LEV)],,-1)</f>
        <v>3.5</v>
      </c>
      <c r="H56" s="4">
        <f>data_validation[[#This Row],[Corporate_Loan_Rate]]-data_validation[[#This Row],[ECB_DFR]]</f>
        <v>1.6500000000000004</v>
      </c>
      <c r="I56" s="5">
        <f>IFERROR(data_validation[[#This Row],[New_Loan_Volume]]/_xlfn.XLOOKUP(EOMONTH(data_validation[[#This Row],[DATE]],-12),data_validation[DATE],data_validation[New_Loan_Volume])-1,"")</f>
        <v>-1.3851699279093688E-2</v>
      </c>
      <c r="J56" s="5">
        <f>IFERROR(data_validation[[#This Row],[Loan_Stock]]/_xlfn.XLOOKUP(EOMONTH(data_validation[[#This Row],[DATE]],-12),data_validation[DATE],data_validation[Loan_Stock])-1,"")</f>
        <v>4.8596830376852251E-2</v>
      </c>
      <c r="K56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61111</v>
      </c>
      <c r="L56">
        <f>COUNTIF(data_validation[DATE],data_validation[[#This Row],[DATE]])</f>
        <v>1</v>
      </c>
      <c r="M56">
        <f>COUNTBLANK(data_validation[[#This Row],[Corporate_Loan_Rate]])</f>
        <v>0</v>
      </c>
      <c r="N56">
        <f>COUNTBLANK(data_validation[[#This Row],[New_Loan_Volume]])</f>
        <v>0</v>
      </c>
      <c r="O56">
        <f>COUNTBLANK(data_validation[[#This Row],[Loan_Stock]])</f>
        <v>0</v>
      </c>
      <c r="P56">
        <f>COUNTBLANK(data_validation[[#This Row],[ECB_DFR]])</f>
        <v>0</v>
      </c>
      <c r="Q56">
        <f t="shared" si="0"/>
        <v>1</v>
      </c>
      <c r="R56">
        <f>COUNTIF(data_validation[[#This Row],[New_Loan_Volume]],"&lt;0")</f>
        <v>0</v>
      </c>
      <c r="S56">
        <f>COUNTIF(data_validation[[#This Row],[Loan_Stock]],"&lt;0")</f>
        <v>0</v>
      </c>
    </row>
    <row r="57" spans="1:19" x14ac:dyDescent="0.35">
      <c r="A57" s="1">
        <v>45169</v>
      </c>
      <c r="B57" t="s">
        <v>61</v>
      </c>
      <c r="C57">
        <f>YEAR(data_validation[[#This Row],[DATE]])</f>
        <v>2023</v>
      </c>
      <c r="D57" s="4">
        <v>5.09</v>
      </c>
      <c r="E57" s="4">
        <v>51977</v>
      </c>
      <c r="F57" s="4">
        <v>1356111</v>
      </c>
      <c r="G57" s="4">
        <f>_xlfn.XLOOKUP(data_validation[[#This Row],[DATE]],Table1[DATE],Table1[Deposit facility - date of changes (raw data) - Level (FM.D.U2.EUR.4F.KR.DFR.LEV)],,-1)</f>
        <v>3.75</v>
      </c>
      <c r="H57" s="4">
        <f>data_validation[[#This Row],[Corporate_Loan_Rate]]-data_validation[[#This Row],[ECB_DFR]]</f>
        <v>1.3399999999999999</v>
      </c>
      <c r="I57" s="5">
        <f>IFERROR(data_validation[[#This Row],[New_Loan_Volume]]/_xlfn.XLOOKUP(EOMONTH(data_validation[[#This Row],[DATE]],-12),data_validation[DATE],data_validation[New_Loan_Volume])-1,"")</f>
        <v>-0.22414282089173498</v>
      </c>
      <c r="J57" s="5">
        <f>IFERROR(data_validation[[#This Row],[Loan_Stock]]/_xlfn.XLOOKUP(EOMONTH(data_validation[[#This Row],[DATE]],-12),data_validation[DATE],data_validation[Loan_Stock])-1,"")</f>
        <v>2.1516375691406742E-2</v>
      </c>
      <c r="K57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59028</v>
      </c>
      <c r="L57">
        <f>COUNTIF(data_validation[DATE],data_validation[[#This Row],[DATE]])</f>
        <v>1</v>
      </c>
      <c r="M57">
        <f>COUNTBLANK(data_validation[[#This Row],[Corporate_Loan_Rate]])</f>
        <v>0</v>
      </c>
      <c r="N57">
        <f>COUNTBLANK(data_validation[[#This Row],[New_Loan_Volume]])</f>
        <v>0</v>
      </c>
      <c r="O57">
        <f>COUNTBLANK(data_validation[[#This Row],[Loan_Stock]])</f>
        <v>0</v>
      </c>
      <c r="P57">
        <f>COUNTBLANK(data_validation[[#This Row],[ECB_DFR]])</f>
        <v>0</v>
      </c>
      <c r="Q57">
        <f t="shared" si="0"/>
        <v>1</v>
      </c>
      <c r="R57">
        <f>COUNTIF(data_validation[[#This Row],[New_Loan_Volume]],"&lt;0")</f>
        <v>0</v>
      </c>
      <c r="S57">
        <f>COUNTIF(data_validation[[#This Row],[Loan_Stock]],"&lt;0")</f>
        <v>0</v>
      </c>
    </row>
    <row r="58" spans="1:19" x14ac:dyDescent="0.35">
      <c r="A58" s="1">
        <v>45199</v>
      </c>
      <c r="B58" t="s">
        <v>62</v>
      </c>
      <c r="C58">
        <f>YEAR(data_validation[[#This Row],[DATE]])</f>
        <v>2023</v>
      </c>
      <c r="D58" s="4">
        <v>5.09</v>
      </c>
      <c r="E58" s="4">
        <v>57615</v>
      </c>
      <c r="F58" s="4">
        <v>1352377</v>
      </c>
      <c r="G58" s="4">
        <f>_xlfn.XLOOKUP(data_validation[[#This Row],[DATE]],Table1[DATE],Table1[Deposit facility - date of changes (raw data) - Level (FM.D.U2.EUR.4F.KR.DFR.LEV)],,-1)</f>
        <v>4</v>
      </c>
      <c r="H58" s="4">
        <f>data_validation[[#This Row],[Corporate_Loan_Rate]]-data_validation[[#This Row],[ECB_DFR]]</f>
        <v>1.0899999999999999</v>
      </c>
      <c r="I58" s="5">
        <f>IFERROR(data_validation[[#This Row],[New_Loan_Volume]]/_xlfn.XLOOKUP(EOMONTH(data_validation[[#This Row],[DATE]],-12),data_validation[DATE],data_validation[New_Loan_Volume])-1,"")</f>
        <v>-0.18713582302233389</v>
      </c>
      <c r="J58" s="5">
        <f>IFERROR(data_validation[[#This Row],[Loan_Stock]]/_xlfn.XLOOKUP(EOMONTH(data_validation[[#This Row],[DATE]],-12),data_validation[DATE],data_validation[Loan_Stock])-1,"")</f>
        <v>1.082295572828107E-2</v>
      </c>
      <c r="K58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55681.666666666664</v>
      </c>
      <c r="L58">
        <f>COUNTIF(data_validation[DATE],data_validation[[#This Row],[DATE]])</f>
        <v>1</v>
      </c>
      <c r="M58">
        <f>COUNTBLANK(data_validation[[#This Row],[Corporate_Loan_Rate]])</f>
        <v>0</v>
      </c>
      <c r="N58">
        <f>COUNTBLANK(data_validation[[#This Row],[New_Loan_Volume]])</f>
        <v>0</v>
      </c>
      <c r="O58">
        <f>COUNTBLANK(data_validation[[#This Row],[Loan_Stock]])</f>
        <v>0</v>
      </c>
      <c r="P58">
        <f>COUNTBLANK(data_validation[[#This Row],[ECB_DFR]])</f>
        <v>0</v>
      </c>
      <c r="Q58">
        <f t="shared" si="0"/>
        <v>1</v>
      </c>
      <c r="R58">
        <f>COUNTIF(data_validation[[#This Row],[New_Loan_Volume]],"&lt;0")</f>
        <v>0</v>
      </c>
      <c r="S58">
        <f>COUNTIF(data_validation[[#This Row],[Loan_Stock]],"&lt;0")</f>
        <v>0</v>
      </c>
    </row>
    <row r="59" spans="1:19" x14ac:dyDescent="0.35">
      <c r="A59" s="1">
        <v>45230</v>
      </c>
      <c r="B59" t="s">
        <v>63</v>
      </c>
      <c r="C59">
        <f>YEAR(data_validation[[#This Row],[DATE]])</f>
        <v>2023</v>
      </c>
      <c r="D59" s="4">
        <v>5.45</v>
      </c>
      <c r="E59" s="4">
        <v>51984</v>
      </c>
      <c r="F59" s="4">
        <v>1354882</v>
      </c>
      <c r="G59" s="4">
        <f>_xlfn.XLOOKUP(data_validation[[#This Row],[DATE]],Table1[DATE],Table1[Deposit facility - date of changes (raw data) - Level (FM.D.U2.EUR.4F.KR.DFR.LEV)],,-1)</f>
        <v>4</v>
      </c>
      <c r="H59" s="4">
        <f>data_validation[[#This Row],[Corporate_Loan_Rate]]-data_validation[[#This Row],[ECB_DFR]]</f>
        <v>1.4500000000000002</v>
      </c>
      <c r="I59" s="5">
        <f>IFERROR(data_validation[[#This Row],[New_Loan_Volume]]/_xlfn.XLOOKUP(EOMONTH(data_validation[[#This Row],[DATE]],-12),data_validation[DATE],data_validation[New_Loan_Volume])-1,"")</f>
        <v>-0.17686924026981665</v>
      </c>
      <c r="J59" s="5">
        <f>IFERROR(data_validation[[#This Row],[Loan_Stock]]/_xlfn.XLOOKUP(EOMONTH(data_validation[[#This Row],[DATE]],-12),data_validation[DATE],data_validation[Loan_Stock])-1,"")</f>
        <v>2.1309155836424232E-3</v>
      </c>
      <c r="K59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53858.666666666664</v>
      </c>
      <c r="L59">
        <f>COUNTIF(data_validation[DATE],data_validation[[#This Row],[DATE]])</f>
        <v>1</v>
      </c>
      <c r="M59">
        <f>COUNTBLANK(data_validation[[#This Row],[Corporate_Loan_Rate]])</f>
        <v>0</v>
      </c>
      <c r="N59">
        <f>COUNTBLANK(data_validation[[#This Row],[New_Loan_Volume]])</f>
        <v>0</v>
      </c>
      <c r="O59">
        <f>COUNTBLANK(data_validation[[#This Row],[Loan_Stock]])</f>
        <v>0</v>
      </c>
      <c r="P59">
        <f>COUNTBLANK(data_validation[[#This Row],[ECB_DFR]])</f>
        <v>0</v>
      </c>
      <c r="Q59">
        <f t="shared" si="0"/>
        <v>1</v>
      </c>
      <c r="R59">
        <f>COUNTIF(data_validation[[#This Row],[New_Loan_Volume]],"&lt;0")</f>
        <v>0</v>
      </c>
      <c r="S59">
        <f>COUNTIF(data_validation[[#This Row],[Loan_Stock]],"&lt;0")</f>
        <v>0</v>
      </c>
    </row>
    <row r="60" spans="1:19" x14ac:dyDescent="0.35">
      <c r="A60" s="1">
        <v>45260</v>
      </c>
      <c r="B60" t="s">
        <v>64</v>
      </c>
      <c r="C60">
        <f>YEAR(data_validation[[#This Row],[DATE]])</f>
        <v>2023</v>
      </c>
      <c r="D60" s="4">
        <v>5.13</v>
      </c>
      <c r="E60" s="4">
        <v>56849</v>
      </c>
      <c r="F60" s="4">
        <v>1360736</v>
      </c>
      <c r="G60" s="4">
        <f>_xlfn.XLOOKUP(data_validation[[#This Row],[DATE]],Table1[DATE],Table1[Deposit facility - date of changes (raw data) - Level (FM.D.U2.EUR.4F.KR.DFR.LEV)],,-1)</f>
        <v>4</v>
      </c>
      <c r="H60" s="4">
        <f>data_validation[[#This Row],[Corporate_Loan_Rate]]-data_validation[[#This Row],[ECB_DFR]]</f>
        <v>1.1299999999999999</v>
      </c>
      <c r="I60" s="5">
        <f>IFERROR(data_validation[[#This Row],[New_Loan_Volume]]/_xlfn.XLOOKUP(EOMONTH(data_validation[[#This Row],[DATE]],-12),data_validation[DATE],data_validation[New_Loan_Volume])-1,"")</f>
        <v>1.1368083970823673E-2</v>
      </c>
      <c r="J60" s="5">
        <f>IFERROR(data_validation[[#This Row],[Loan_Stock]]/_xlfn.XLOOKUP(EOMONTH(data_validation[[#This Row],[DATE]],-12),data_validation[DATE],data_validation[Loan_Stock])-1,"")</f>
        <v>2.306267286876551E-3</v>
      </c>
      <c r="K60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55482.666666666664</v>
      </c>
      <c r="L60">
        <f>COUNTIF(data_validation[DATE],data_validation[[#This Row],[DATE]])</f>
        <v>1</v>
      </c>
      <c r="M60">
        <f>COUNTBLANK(data_validation[[#This Row],[Corporate_Loan_Rate]])</f>
        <v>0</v>
      </c>
      <c r="N60">
        <f>COUNTBLANK(data_validation[[#This Row],[New_Loan_Volume]])</f>
        <v>0</v>
      </c>
      <c r="O60">
        <f>COUNTBLANK(data_validation[[#This Row],[Loan_Stock]])</f>
        <v>0</v>
      </c>
      <c r="P60">
        <f>COUNTBLANK(data_validation[[#This Row],[ECB_DFR]])</f>
        <v>0</v>
      </c>
      <c r="Q60">
        <f t="shared" si="0"/>
        <v>1</v>
      </c>
      <c r="R60">
        <f>COUNTIF(data_validation[[#This Row],[New_Loan_Volume]],"&lt;0")</f>
        <v>0</v>
      </c>
      <c r="S60">
        <f>COUNTIF(data_validation[[#This Row],[Loan_Stock]],"&lt;0")</f>
        <v>0</v>
      </c>
    </row>
    <row r="61" spans="1:19" x14ac:dyDescent="0.35">
      <c r="A61" s="1">
        <v>45291</v>
      </c>
      <c r="B61" t="s">
        <v>65</v>
      </c>
      <c r="C61">
        <f>YEAR(data_validation[[#This Row],[DATE]])</f>
        <v>2023</v>
      </c>
      <c r="D61" s="4">
        <v>5.13</v>
      </c>
      <c r="E61" s="4">
        <v>76896</v>
      </c>
      <c r="F61" s="4">
        <v>1353613</v>
      </c>
      <c r="G61" s="4">
        <f>_xlfn.XLOOKUP(data_validation[[#This Row],[DATE]],Table1[DATE],Table1[Deposit facility - date of changes (raw data) - Level (FM.D.U2.EUR.4F.KR.DFR.LEV)],,-1)</f>
        <v>4</v>
      </c>
      <c r="H61" s="4">
        <f>data_validation[[#This Row],[Corporate_Loan_Rate]]-data_validation[[#This Row],[ECB_DFR]]</f>
        <v>1.1299999999999999</v>
      </c>
      <c r="I61" s="5">
        <f>IFERROR(data_validation[[#This Row],[New_Loan_Volume]]/_xlfn.XLOOKUP(EOMONTH(data_validation[[#This Row],[DATE]],-12),data_validation[DATE],data_validation[New_Loan_Volume])-1,"")</f>
        <v>3.2701682760102546E-2</v>
      </c>
      <c r="J61" s="5">
        <f>IFERROR(data_validation[[#This Row],[Loan_Stock]]/_xlfn.XLOOKUP(EOMONTH(data_validation[[#This Row],[DATE]],-12),data_validation[DATE],data_validation[Loan_Stock])-1,"")</f>
        <v>1.5295288628066839E-2</v>
      </c>
      <c r="K61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61909.666666666664</v>
      </c>
      <c r="L61">
        <f>COUNTIF(data_validation[DATE],data_validation[[#This Row],[DATE]])</f>
        <v>1</v>
      </c>
      <c r="M61">
        <f>COUNTBLANK(data_validation[[#This Row],[Corporate_Loan_Rate]])</f>
        <v>0</v>
      </c>
      <c r="N61">
        <f>COUNTBLANK(data_validation[[#This Row],[New_Loan_Volume]])</f>
        <v>0</v>
      </c>
      <c r="O61">
        <f>COUNTBLANK(data_validation[[#This Row],[Loan_Stock]])</f>
        <v>0</v>
      </c>
      <c r="P61">
        <f>COUNTBLANK(data_validation[[#This Row],[ECB_DFR]])</f>
        <v>0</v>
      </c>
      <c r="Q61">
        <f t="shared" si="0"/>
        <v>1</v>
      </c>
      <c r="R61">
        <f>COUNTIF(data_validation[[#This Row],[New_Loan_Volume]],"&lt;0")</f>
        <v>0</v>
      </c>
      <c r="S61">
        <f>COUNTIF(data_validation[[#This Row],[Loan_Stock]],"&lt;0")</f>
        <v>0</v>
      </c>
    </row>
    <row r="62" spans="1:19" x14ac:dyDescent="0.35">
      <c r="A62" s="1">
        <v>45322</v>
      </c>
      <c r="B62" t="s">
        <v>66</v>
      </c>
      <c r="C62">
        <f>YEAR(data_validation[[#This Row],[DATE]])</f>
        <v>2024</v>
      </c>
      <c r="D62" s="4">
        <v>5.07</v>
      </c>
      <c r="E62" s="4">
        <v>53264</v>
      </c>
      <c r="F62" s="4">
        <v>1356784</v>
      </c>
      <c r="G62" s="4">
        <f>_xlfn.XLOOKUP(data_validation[[#This Row],[DATE]],Table1[DATE],Table1[Deposit facility - date of changes (raw data) - Level (FM.D.U2.EUR.4F.KR.DFR.LEV)],,-1)</f>
        <v>4</v>
      </c>
      <c r="H62" s="4">
        <f>data_validation[[#This Row],[Corporate_Loan_Rate]]-data_validation[[#This Row],[ECB_DFR]]</f>
        <v>1.0700000000000003</v>
      </c>
      <c r="I62" s="5">
        <f>IFERROR(data_validation[[#This Row],[New_Loan_Volume]]/_xlfn.XLOOKUP(EOMONTH(data_validation[[#This Row],[DATE]],-12),data_validation[DATE],data_validation[New_Loan_Volume])-1,"")</f>
        <v>-8.5879041669526979E-2</v>
      </c>
      <c r="J62" s="5">
        <f>IFERROR(data_validation[[#This Row],[Loan_Stock]]/_xlfn.XLOOKUP(EOMONTH(data_validation[[#This Row],[DATE]],-12),data_validation[DATE],data_validation[Loan_Stock])-1,"")</f>
        <v>8.9511261226089545E-3</v>
      </c>
      <c r="K62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62336.333333333336</v>
      </c>
      <c r="L62">
        <f>COUNTIF(data_validation[DATE],data_validation[[#This Row],[DATE]])</f>
        <v>1</v>
      </c>
      <c r="M62">
        <f>COUNTBLANK(data_validation[[#This Row],[Corporate_Loan_Rate]])</f>
        <v>0</v>
      </c>
      <c r="N62">
        <f>COUNTBLANK(data_validation[[#This Row],[New_Loan_Volume]])</f>
        <v>0</v>
      </c>
      <c r="O62">
        <f>COUNTBLANK(data_validation[[#This Row],[Loan_Stock]])</f>
        <v>0</v>
      </c>
      <c r="P62">
        <f>COUNTBLANK(data_validation[[#This Row],[ECB_DFR]])</f>
        <v>0</v>
      </c>
      <c r="Q62">
        <f t="shared" si="0"/>
        <v>1</v>
      </c>
      <c r="R62">
        <f>COUNTIF(data_validation[[#This Row],[New_Loan_Volume]],"&lt;0")</f>
        <v>0</v>
      </c>
      <c r="S62">
        <f>COUNTIF(data_validation[[#This Row],[Loan_Stock]],"&lt;0")</f>
        <v>0</v>
      </c>
    </row>
    <row r="63" spans="1:19" x14ac:dyDescent="0.35">
      <c r="A63" s="1">
        <v>45351</v>
      </c>
      <c r="B63" t="s">
        <v>67</v>
      </c>
      <c r="C63">
        <f>YEAR(data_validation[[#This Row],[DATE]])</f>
        <v>2024</v>
      </c>
      <c r="D63" s="4">
        <v>4.95</v>
      </c>
      <c r="E63" s="4">
        <v>53919</v>
      </c>
      <c r="F63" s="4">
        <v>1360658</v>
      </c>
      <c r="G63" s="4">
        <f>_xlfn.XLOOKUP(data_validation[[#This Row],[DATE]],Table1[DATE],Table1[Deposit facility - date of changes (raw data) - Level (FM.D.U2.EUR.4F.KR.DFR.LEV)],,-1)</f>
        <v>4</v>
      </c>
      <c r="H63" s="4">
        <f>data_validation[[#This Row],[Corporate_Loan_Rate]]-data_validation[[#This Row],[ECB_DFR]]</f>
        <v>0.95000000000000018</v>
      </c>
      <c r="I63" s="5">
        <f>IFERROR(data_validation[[#This Row],[New_Loan_Volume]]/_xlfn.XLOOKUP(EOMONTH(data_validation[[#This Row],[DATE]],-12),data_validation[DATE],data_validation[New_Loan_Volume])-1,"")</f>
        <v>-0.17931506849315071</v>
      </c>
      <c r="J63" s="5">
        <f>IFERROR(data_validation[[#This Row],[Loan_Stock]]/_xlfn.XLOOKUP(EOMONTH(data_validation[[#This Row],[DATE]],-12),data_validation[DATE],data_validation[Loan_Stock])-1,"")</f>
        <v>9.5407401251967894E-3</v>
      </c>
      <c r="K63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61359.666666666664</v>
      </c>
      <c r="L63">
        <f>COUNTIF(data_validation[DATE],data_validation[[#This Row],[DATE]])</f>
        <v>1</v>
      </c>
      <c r="M63">
        <f>COUNTBLANK(data_validation[[#This Row],[Corporate_Loan_Rate]])</f>
        <v>0</v>
      </c>
      <c r="N63">
        <f>COUNTBLANK(data_validation[[#This Row],[New_Loan_Volume]])</f>
        <v>0</v>
      </c>
      <c r="O63">
        <f>COUNTBLANK(data_validation[[#This Row],[Loan_Stock]])</f>
        <v>0</v>
      </c>
      <c r="P63">
        <f>COUNTBLANK(data_validation[[#This Row],[ECB_DFR]])</f>
        <v>0</v>
      </c>
      <c r="Q63">
        <f t="shared" si="0"/>
        <v>1</v>
      </c>
      <c r="R63">
        <f>COUNTIF(data_validation[[#This Row],[New_Loan_Volume]],"&lt;0")</f>
        <v>0</v>
      </c>
      <c r="S63">
        <f>COUNTIF(data_validation[[#This Row],[Loan_Stock]],"&lt;0")</f>
        <v>0</v>
      </c>
    </row>
    <row r="64" spans="1:19" x14ac:dyDescent="0.35">
      <c r="A64" s="1">
        <v>45382</v>
      </c>
      <c r="B64" t="s">
        <v>68</v>
      </c>
      <c r="C64">
        <f>YEAR(data_validation[[#This Row],[DATE]])</f>
        <v>2024</v>
      </c>
      <c r="D64" s="4">
        <v>5.1100000000000003</v>
      </c>
      <c r="E64" s="4">
        <v>65775</v>
      </c>
      <c r="F64" s="4">
        <v>1361050</v>
      </c>
      <c r="G64" s="4">
        <f>_xlfn.XLOOKUP(data_validation[[#This Row],[DATE]],Table1[DATE],Table1[Deposit facility - date of changes (raw data) - Level (FM.D.U2.EUR.4F.KR.DFR.LEV)],,-1)</f>
        <v>4</v>
      </c>
      <c r="H64" s="4">
        <f>data_validation[[#This Row],[Corporate_Loan_Rate]]-data_validation[[#This Row],[ECB_DFR]]</f>
        <v>1.1100000000000003</v>
      </c>
      <c r="I64" s="5">
        <f>IFERROR(data_validation[[#This Row],[New_Loan_Volume]]/_xlfn.XLOOKUP(EOMONTH(data_validation[[#This Row],[DATE]],-12),data_validation[DATE],data_validation[New_Loan_Volume])-1,"")</f>
        <v>-9.397082524071243E-2</v>
      </c>
      <c r="J64" s="5">
        <f>IFERROR(data_validation[[#This Row],[Loan_Stock]]/_xlfn.XLOOKUP(EOMONTH(data_validation[[#This Row],[DATE]],-12),data_validation[DATE],data_validation[Loan_Stock])-1,"")</f>
        <v>1.325144239717102E-2</v>
      </c>
      <c r="K64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57652.666666666664</v>
      </c>
      <c r="L64">
        <f>COUNTIF(data_validation[DATE],data_validation[[#This Row],[DATE]])</f>
        <v>1</v>
      </c>
      <c r="M64">
        <f>COUNTBLANK(data_validation[[#This Row],[Corporate_Loan_Rate]])</f>
        <v>0</v>
      </c>
      <c r="N64">
        <f>COUNTBLANK(data_validation[[#This Row],[New_Loan_Volume]])</f>
        <v>0</v>
      </c>
      <c r="O64">
        <f>COUNTBLANK(data_validation[[#This Row],[Loan_Stock]])</f>
        <v>0</v>
      </c>
      <c r="P64">
        <f>COUNTBLANK(data_validation[[#This Row],[ECB_DFR]])</f>
        <v>0</v>
      </c>
      <c r="Q64">
        <f t="shared" si="0"/>
        <v>1</v>
      </c>
      <c r="R64">
        <f>COUNTIF(data_validation[[#This Row],[New_Loan_Volume]],"&lt;0")</f>
        <v>0</v>
      </c>
      <c r="S64">
        <f>COUNTIF(data_validation[[#This Row],[Loan_Stock]],"&lt;0")</f>
        <v>0</v>
      </c>
    </row>
    <row r="65" spans="1:19" x14ac:dyDescent="0.35">
      <c r="A65" s="1">
        <v>45412</v>
      </c>
      <c r="B65" t="s">
        <v>69</v>
      </c>
      <c r="C65">
        <f>YEAR(data_validation[[#This Row],[DATE]])</f>
        <v>2024</v>
      </c>
      <c r="D65" s="4">
        <v>5.13</v>
      </c>
      <c r="E65" s="4">
        <v>56606</v>
      </c>
      <c r="F65" s="4">
        <v>1360516</v>
      </c>
      <c r="G65" s="4">
        <f>_xlfn.XLOOKUP(data_validation[[#This Row],[DATE]],Table1[DATE],Table1[Deposit facility - date of changes (raw data) - Level (FM.D.U2.EUR.4F.KR.DFR.LEV)],,-1)</f>
        <v>4</v>
      </c>
      <c r="H65" s="4">
        <f>data_validation[[#This Row],[Corporate_Loan_Rate]]-data_validation[[#This Row],[ECB_DFR]]</f>
        <v>1.1299999999999999</v>
      </c>
      <c r="I65" s="5">
        <f>IFERROR(data_validation[[#This Row],[New_Loan_Volume]]/_xlfn.XLOOKUP(EOMONTH(data_validation[[#This Row],[DATE]],-12),data_validation[DATE],data_validation[New_Loan_Volume])-1,"")</f>
        <v>0.12017889300061335</v>
      </c>
      <c r="J65" s="5">
        <f>IFERROR(data_validation[[#This Row],[Loan_Stock]]/_xlfn.XLOOKUP(EOMONTH(data_validation[[#This Row],[DATE]],-12),data_validation[DATE],data_validation[Loan_Stock])-1,"")</f>
        <v>8.8560278160692008E-3</v>
      </c>
      <c r="K65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58766.666666666664</v>
      </c>
      <c r="L65">
        <f>COUNTIF(data_validation[DATE],data_validation[[#This Row],[DATE]])</f>
        <v>1</v>
      </c>
      <c r="M65">
        <f>COUNTBLANK(data_validation[[#This Row],[Corporate_Loan_Rate]])</f>
        <v>0</v>
      </c>
      <c r="N65">
        <f>COUNTBLANK(data_validation[[#This Row],[New_Loan_Volume]])</f>
        <v>0</v>
      </c>
      <c r="O65">
        <f>COUNTBLANK(data_validation[[#This Row],[Loan_Stock]])</f>
        <v>0</v>
      </c>
      <c r="P65">
        <f>COUNTBLANK(data_validation[[#This Row],[ECB_DFR]])</f>
        <v>0</v>
      </c>
      <c r="Q65">
        <f t="shared" si="0"/>
        <v>1</v>
      </c>
      <c r="R65">
        <f>COUNTIF(data_validation[[#This Row],[New_Loan_Volume]],"&lt;0")</f>
        <v>0</v>
      </c>
      <c r="S65">
        <f>COUNTIF(data_validation[[#This Row],[Loan_Stock]],"&lt;0")</f>
        <v>0</v>
      </c>
    </row>
    <row r="66" spans="1:19" x14ac:dyDescent="0.35">
      <c r="A66" s="1">
        <v>45443</v>
      </c>
      <c r="B66" t="s">
        <v>70</v>
      </c>
      <c r="C66">
        <f>YEAR(data_validation[[#This Row],[DATE]])</f>
        <v>2024</v>
      </c>
      <c r="D66" s="4">
        <v>5.04</v>
      </c>
      <c r="E66" s="4">
        <v>61576</v>
      </c>
      <c r="F66" s="4">
        <v>1362888</v>
      </c>
      <c r="G66" s="4">
        <f>_xlfn.XLOOKUP(data_validation[[#This Row],[DATE]],Table1[DATE],Table1[Deposit facility - date of changes (raw data) - Level (FM.D.U2.EUR.4F.KR.DFR.LEV)],,-1)</f>
        <v>4</v>
      </c>
      <c r="H66" s="4">
        <f>data_validation[[#This Row],[Corporate_Loan_Rate]]-data_validation[[#This Row],[ECB_DFR]]</f>
        <v>1.04</v>
      </c>
      <c r="I66" s="5">
        <f>IFERROR(data_validation[[#This Row],[New_Loan_Volume]]/_xlfn.XLOOKUP(EOMONTH(data_validation[[#This Row],[DATE]],-12),data_validation[DATE],data_validation[New_Loan_Volume])-1,"")</f>
        <v>5.7534434788582445E-2</v>
      </c>
      <c r="J66" s="5">
        <f>IFERROR(data_validation[[#This Row],[Loan_Stock]]/_xlfn.XLOOKUP(EOMONTH(data_validation[[#This Row],[DATE]],-12),data_validation[DATE],data_validation[Loan_Stock])-1,"")</f>
        <v>1.5240877886324444E-3</v>
      </c>
      <c r="K66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61319</v>
      </c>
      <c r="L66">
        <f>COUNTIF(data_validation[DATE],data_validation[[#This Row],[DATE]])</f>
        <v>1</v>
      </c>
      <c r="M66">
        <f>COUNTBLANK(data_validation[[#This Row],[Corporate_Loan_Rate]])</f>
        <v>0</v>
      </c>
      <c r="N66">
        <f>COUNTBLANK(data_validation[[#This Row],[New_Loan_Volume]])</f>
        <v>0</v>
      </c>
      <c r="O66">
        <f>COUNTBLANK(data_validation[[#This Row],[Loan_Stock]])</f>
        <v>0</v>
      </c>
      <c r="P66">
        <f>COUNTBLANK(data_validation[[#This Row],[ECB_DFR]])</f>
        <v>0</v>
      </c>
      <c r="Q66">
        <f t="shared" ref="Q66:Q91" si="1">--(A67=EOMONTH(A66,1))</f>
        <v>1</v>
      </c>
      <c r="R66">
        <f>COUNTIF(data_validation[[#This Row],[New_Loan_Volume]],"&lt;0")</f>
        <v>0</v>
      </c>
      <c r="S66">
        <f>COUNTIF(data_validation[[#This Row],[Loan_Stock]],"&lt;0")</f>
        <v>0</v>
      </c>
    </row>
    <row r="67" spans="1:19" x14ac:dyDescent="0.35">
      <c r="A67" s="1">
        <v>45473</v>
      </c>
      <c r="B67" t="s">
        <v>71</v>
      </c>
      <c r="C67">
        <f>YEAR(data_validation[[#This Row],[DATE]])</f>
        <v>2024</v>
      </c>
      <c r="D67" s="4">
        <v>5.03</v>
      </c>
      <c r="E67" s="4">
        <v>70123</v>
      </c>
      <c r="F67" s="4">
        <v>1362908</v>
      </c>
      <c r="G67" s="4">
        <f>_xlfn.XLOOKUP(data_validation[[#This Row],[DATE]],Table1[DATE],Table1[Deposit facility - date of changes (raw data) - Level (FM.D.U2.EUR.4F.KR.DFR.LEV)],,-1)</f>
        <v>3.75</v>
      </c>
      <c r="H67" s="4">
        <f>data_validation[[#This Row],[Corporate_Loan_Rate]]-data_validation[[#This Row],[ECB_DFR]]</f>
        <v>1.2800000000000002</v>
      </c>
      <c r="I67" s="5">
        <f>IFERROR(data_validation[[#This Row],[New_Loan_Volume]]/_xlfn.XLOOKUP(EOMONTH(data_validation[[#This Row],[DATE]],-12),data_validation[DATE],data_validation[New_Loan_Volume])-1,"")</f>
        <v>3.6494516214857997E-2</v>
      </c>
      <c r="J67" s="5">
        <f>IFERROR(data_validation[[#This Row],[Loan_Stock]]/_xlfn.XLOOKUP(EOMONTH(data_validation[[#This Row],[DATE]],-12),data_validation[DATE],data_validation[Loan_Stock])-1,"")</f>
        <v>5.1640747957453215E-3</v>
      </c>
      <c r="K67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62768.333333333336</v>
      </c>
      <c r="L67">
        <f>COUNTIF(data_validation[DATE],data_validation[[#This Row],[DATE]])</f>
        <v>1</v>
      </c>
      <c r="M67">
        <f>COUNTBLANK(data_validation[[#This Row],[Corporate_Loan_Rate]])</f>
        <v>0</v>
      </c>
      <c r="N67">
        <f>COUNTBLANK(data_validation[[#This Row],[New_Loan_Volume]])</f>
        <v>0</v>
      </c>
      <c r="O67">
        <f>COUNTBLANK(data_validation[[#This Row],[Loan_Stock]])</f>
        <v>0</v>
      </c>
      <c r="P67">
        <f>COUNTBLANK(data_validation[[#This Row],[ECB_DFR]])</f>
        <v>0</v>
      </c>
      <c r="Q67">
        <f t="shared" si="1"/>
        <v>1</v>
      </c>
      <c r="R67">
        <f>COUNTIF(data_validation[[#This Row],[New_Loan_Volume]],"&lt;0")</f>
        <v>0</v>
      </c>
      <c r="S67">
        <f>COUNTIF(data_validation[[#This Row],[Loan_Stock]],"&lt;0")</f>
        <v>0</v>
      </c>
    </row>
    <row r="68" spans="1:19" x14ac:dyDescent="0.35">
      <c r="A68" s="1">
        <v>45504</v>
      </c>
      <c r="B68" t="s">
        <v>72</v>
      </c>
      <c r="C68">
        <f>YEAR(data_validation[[#This Row],[DATE]])</f>
        <v>2024</v>
      </c>
      <c r="D68" s="4">
        <v>4.93</v>
      </c>
      <c r="E68" s="4">
        <v>60191</v>
      </c>
      <c r="F68" s="4">
        <v>1361742</v>
      </c>
      <c r="G68" s="4">
        <f>_xlfn.XLOOKUP(data_validation[[#This Row],[DATE]],Table1[DATE],Table1[Deposit facility - date of changes (raw data) - Level (FM.D.U2.EUR.4F.KR.DFR.LEV)],,-1)</f>
        <v>3.75</v>
      </c>
      <c r="H68" s="4">
        <f>data_validation[[#This Row],[Corporate_Loan_Rate]]-data_validation[[#This Row],[ECB_DFR]]</f>
        <v>1.1799999999999997</v>
      </c>
      <c r="I68" s="5">
        <f>IFERROR(data_validation[[#This Row],[New_Loan_Volume]]/_xlfn.XLOOKUP(EOMONTH(data_validation[[#This Row],[DATE]],-12),data_validation[DATE],data_validation[New_Loan_Volume])-1,"")</f>
        <v>4.7656345186500193E-2</v>
      </c>
      <c r="J68" s="5">
        <f>IFERROR(data_validation[[#This Row],[Loan_Stock]]/_xlfn.XLOOKUP(EOMONTH(data_validation[[#This Row],[DATE]],-12),data_validation[DATE],data_validation[Loan_Stock])-1,"")</f>
        <v>5.7753520319536733E-4</v>
      </c>
      <c r="K68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63963.333333333336</v>
      </c>
      <c r="L68">
        <f>COUNTIF(data_validation[DATE],data_validation[[#This Row],[DATE]])</f>
        <v>1</v>
      </c>
      <c r="M68">
        <f>COUNTBLANK(data_validation[[#This Row],[Corporate_Loan_Rate]])</f>
        <v>0</v>
      </c>
      <c r="N68">
        <f>COUNTBLANK(data_validation[[#This Row],[New_Loan_Volume]])</f>
        <v>0</v>
      </c>
      <c r="O68">
        <f>COUNTBLANK(data_validation[[#This Row],[Loan_Stock]])</f>
        <v>0</v>
      </c>
      <c r="P68">
        <f>COUNTBLANK(data_validation[[#This Row],[ECB_DFR]])</f>
        <v>0</v>
      </c>
      <c r="Q68">
        <f t="shared" si="1"/>
        <v>1</v>
      </c>
      <c r="R68">
        <f>COUNTIF(data_validation[[#This Row],[New_Loan_Volume]],"&lt;0")</f>
        <v>0</v>
      </c>
      <c r="S68">
        <f>COUNTIF(data_validation[[#This Row],[Loan_Stock]],"&lt;0")</f>
        <v>0</v>
      </c>
    </row>
    <row r="69" spans="1:19" x14ac:dyDescent="0.35">
      <c r="A69" s="1">
        <v>45535</v>
      </c>
      <c r="B69" t="s">
        <v>73</v>
      </c>
      <c r="C69">
        <f>YEAR(data_validation[[#This Row],[DATE]])</f>
        <v>2024</v>
      </c>
      <c r="D69" s="4">
        <v>5.03</v>
      </c>
      <c r="E69" s="4">
        <v>56093</v>
      </c>
      <c r="F69" s="4">
        <v>1361490</v>
      </c>
      <c r="G69" s="4">
        <f>_xlfn.XLOOKUP(data_validation[[#This Row],[DATE]],Table1[DATE],Table1[Deposit facility - date of changes (raw data) - Level (FM.D.U2.EUR.4F.KR.DFR.LEV)],,-1)</f>
        <v>3.75</v>
      </c>
      <c r="H69" s="4">
        <f>data_validation[[#This Row],[Corporate_Loan_Rate]]-data_validation[[#This Row],[ECB_DFR]]</f>
        <v>1.2800000000000002</v>
      </c>
      <c r="I69" s="5">
        <f>IFERROR(data_validation[[#This Row],[New_Loan_Volume]]/_xlfn.XLOOKUP(EOMONTH(data_validation[[#This Row],[DATE]],-12),data_validation[DATE],data_validation[New_Loan_Volume])-1,"")</f>
        <v>7.9188872001077382E-2</v>
      </c>
      <c r="J69" s="5">
        <f>IFERROR(data_validation[[#This Row],[Loan_Stock]]/_xlfn.XLOOKUP(EOMONTH(data_validation[[#This Row],[DATE]],-12),data_validation[DATE],data_validation[Loan_Stock])-1,"")</f>
        <v>3.9664894687825303E-3</v>
      </c>
      <c r="K69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62135.666666666664</v>
      </c>
      <c r="L69">
        <f>COUNTIF(data_validation[DATE],data_validation[[#This Row],[DATE]])</f>
        <v>1</v>
      </c>
      <c r="M69">
        <f>COUNTBLANK(data_validation[[#This Row],[Corporate_Loan_Rate]])</f>
        <v>0</v>
      </c>
      <c r="N69">
        <f>COUNTBLANK(data_validation[[#This Row],[New_Loan_Volume]])</f>
        <v>0</v>
      </c>
      <c r="O69">
        <f>COUNTBLANK(data_validation[[#This Row],[Loan_Stock]])</f>
        <v>0</v>
      </c>
      <c r="P69">
        <f>COUNTBLANK(data_validation[[#This Row],[ECB_DFR]])</f>
        <v>0</v>
      </c>
      <c r="Q69">
        <f t="shared" si="1"/>
        <v>1</v>
      </c>
      <c r="R69">
        <f>COUNTIF(data_validation[[#This Row],[New_Loan_Volume]],"&lt;0")</f>
        <v>0</v>
      </c>
      <c r="S69">
        <f>COUNTIF(data_validation[[#This Row],[Loan_Stock]],"&lt;0")</f>
        <v>0</v>
      </c>
    </row>
    <row r="70" spans="1:19" x14ac:dyDescent="0.35">
      <c r="A70" s="1">
        <v>45565</v>
      </c>
      <c r="B70" t="s">
        <v>74</v>
      </c>
      <c r="C70">
        <f>YEAR(data_validation[[#This Row],[DATE]])</f>
        <v>2024</v>
      </c>
      <c r="D70" s="4">
        <v>4.6100000000000003</v>
      </c>
      <c r="E70" s="4">
        <v>77186</v>
      </c>
      <c r="F70" s="4">
        <v>1360701</v>
      </c>
      <c r="G70" s="4">
        <f>_xlfn.XLOOKUP(data_validation[[#This Row],[DATE]],Table1[DATE],Table1[Deposit facility - date of changes (raw data) - Level (FM.D.U2.EUR.4F.KR.DFR.LEV)],,-1)</f>
        <v>3.5</v>
      </c>
      <c r="H70" s="4">
        <f>data_validation[[#This Row],[Corporate_Loan_Rate]]-data_validation[[#This Row],[ECB_DFR]]</f>
        <v>1.1100000000000003</v>
      </c>
      <c r="I70" s="5">
        <f>IFERROR(data_validation[[#This Row],[New_Loan_Volume]]/_xlfn.XLOOKUP(EOMONTH(data_validation[[#This Row],[DATE]],-12),data_validation[DATE],data_validation[New_Loan_Volume])-1,"")</f>
        <v>0.33968584569990457</v>
      </c>
      <c r="J70" s="5">
        <f>IFERROR(data_validation[[#This Row],[Loan_Stock]]/_xlfn.XLOOKUP(EOMONTH(data_validation[[#This Row],[DATE]],-12),data_validation[DATE],data_validation[Loan_Stock])-1,"")</f>
        <v>6.1550884109977666E-3</v>
      </c>
      <c r="K70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64490</v>
      </c>
      <c r="L70">
        <f>COUNTIF(data_validation[DATE],data_validation[[#This Row],[DATE]])</f>
        <v>1</v>
      </c>
      <c r="M70">
        <f>COUNTBLANK(data_validation[[#This Row],[Corporate_Loan_Rate]])</f>
        <v>0</v>
      </c>
      <c r="N70">
        <f>COUNTBLANK(data_validation[[#This Row],[New_Loan_Volume]])</f>
        <v>0</v>
      </c>
      <c r="O70">
        <f>COUNTBLANK(data_validation[[#This Row],[Loan_Stock]])</f>
        <v>0</v>
      </c>
      <c r="P70">
        <f>COUNTBLANK(data_validation[[#This Row],[ECB_DFR]])</f>
        <v>0</v>
      </c>
      <c r="Q70">
        <f t="shared" si="1"/>
        <v>1</v>
      </c>
      <c r="R70">
        <f>COUNTIF(data_validation[[#This Row],[New_Loan_Volume]],"&lt;0")</f>
        <v>0</v>
      </c>
      <c r="S70">
        <f>COUNTIF(data_validation[[#This Row],[Loan_Stock]],"&lt;0")</f>
        <v>0</v>
      </c>
    </row>
    <row r="71" spans="1:19" x14ac:dyDescent="0.35">
      <c r="A71" s="1">
        <v>45596</v>
      </c>
      <c r="B71" t="s">
        <v>75</v>
      </c>
      <c r="C71">
        <f>YEAR(data_validation[[#This Row],[DATE]])</f>
        <v>2024</v>
      </c>
      <c r="D71" s="4">
        <v>4.63</v>
      </c>
      <c r="E71" s="4">
        <v>71158</v>
      </c>
      <c r="F71" s="4">
        <v>1358515</v>
      </c>
      <c r="G71" s="4">
        <f>_xlfn.XLOOKUP(data_validation[[#This Row],[DATE]],Table1[DATE],Table1[Deposit facility - date of changes (raw data) - Level (FM.D.U2.EUR.4F.KR.DFR.LEV)],,-1)</f>
        <v>3.25</v>
      </c>
      <c r="H71" s="4">
        <f>data_validation[[#This Row],[Corporate_Loan_Rate]]-data_validation[[#This Row],[ECB_DFR]]</f>
        <v>1.38</v>
      </c>
      <c r="I71" s="5">
        <f>IFERROR(data_validation[[#This Row],[New_Loan_Volume]]/_xlfn.XLOOKUP(EOMONTH(data_validation[[#This Row],[DATE]],-12),data_validation[DATE],data_validation[New_Loan_Volume])-1,"")</f>
        <v>0.36884425977223767</v>
      </c>
      <c r="J71" s="5">
        <f>IFERROR(data_validation[[#This Row],[Loan_Stock]]/_xlfn.XLOOKUP(EOMONTH(data_validation[[#This Row],[DATE]],-12),data_validation[DATE],data_validation[Loan_Stock])-1,"")</f>
        <v>2.6814143224280773E-3</v>
      </c>
      <c r="K71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68145.666666666672</v>
      </c>
      <c r="L71">
        <f>COUNTIF(data_validation[DATE],data_validation[[#This Row],[DATE]])</f>
        <v>1</v>
      </c>
      <c r="M71">
        <f>COUNTBLANK(data_validation[[#This Row],[Corporate_Loan_Rate]])</f>
        <v>0</v>
      </c>
      <c r="N71">
        <f>COUNTBLANK(data_validation[[#This Row],[New_Loan_Volume]])</f>
        <v>0</v>
      </c>
      <c r="O71">
        <f>COUNTBLANK(data_validation[[#This Row],[Loan_Stock]])</f>
        <v>0</v>
      </c>
      <c r="P71">
        <f>COUNTBLANK(data_validation[[#This Row],[ECB_DFR]])</f>
        <v>0</v>
      </c>
      <c r="Q71">
        <f t="shared" si="1"/>
        <v>1</v>
      </c>
      <c r="R71">
        <f>COUNTIF(data_validation[[#This Row],[New_Loan_Volume]],"&lt;0")</f>
        <v>0</v>
      </c>
      <c r="S71">
        <f>COUNTIF(data_validation[[#This Row],[Loan_Stock]],"&lt;0")</f>
        <v>0</v>
      </c>
    </row>
    <row r="72" spans="1:19" x14ac:dyDescent="0.35">
      <c r="A72" s="1">
        <v>45626</v>
      </c>
      <c r="B72" t="s">
        <v>76</v>
      </c>
      <c r="C72">
        <f>YEAR(data_validation[[#This Row],[DATE]])</f>
        <v>2024</v>
      </c>
      <c r="D72" s="4">
        <v>4.3899999999999997</v>
      </c>
      <c r="E72" s="4">
        <v>58535</v>
      </c>
      <c r="F72" s="4">
        <v>1364732</v>
      </c>
      <c r="G72" s="4">
        <f>_xlfn.XLOOKUP(data_validation[[#This Row],[DATE]],Table1[DATE],Table1[Deposit facility - date of changes (raw data) - Level (FM.D.U2.EUR.4F.KR.DFR.LEV)],,-1)</f>
        <v>3.25</v>
      </c>
      <c r="H72" s="4">
        <f>data_validation[[#This Row],[Corporate_Loan_Rate]]-data_validation[[#This Row],[ECB_DFR]]</f>
        <v>1.1399999999999997</v>
      </c>
      <c r="I72" s="5">
        <f>IFERROR(data_validation[[#This Row],[New_Loan_Volume]]/_xlfn.XLOOKUP(EOMONTH(data_validation[[#This Row],[DATE]],-12),data_validation[DATE],data_validation[New_Loan_Volume])-1,"")</f>
        <v>2.9657513764534071E-2</v>
      </c>
      <c r="J72" s="5">
        <f>IFERROR(data_validation[[#This Row],[Loan_Stock]]/_xlfn.XLOOKUP(EOMONTH(data_validation[[#This Row],[DATE]],-12),data_validation[DATE],data_validation[Loan_Stock])-1,"")</f>
        <v>2.9366460503728042E-3</v>
      </c>
      <c r="K72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68959.666666666672</v>
      </c>
      <c r="L72">
        <f>COUNTIF(data_validation[DATE],data_validation[[#This Row],[DATE]])</f>
        <v>1</v>
      </c>
      <c r="M72">
        <f>COUNTBLANK(data_validation[[#This Row],[Corporate_Loan_Rate]])</f>
        <v>0</v>
      </c>
      <c r="N72">
        <f>COUNTBLANK(data_validation[[#This Row],[New_Loan_Volume]])</f>
        <v>0</v>
      </c>
      <c r="O72">
        <f>COUNTBLANK(data_validation[[#This Row],[Loan_Stock]])</f>
        <v>0</v>
      </c>
      <c r="P72">
        <f>COUNTBLANK(data_validation[[#This Row],[ECB_DFR]])</f>
        <v>0</v>
      </c>
      <c r="Q72">
        <f t="shared" si="1"/>
        <v>1</v>
      </c>
      <c r="R72">
        <f>COUNTIF(data_validation[[#This Row],[New_Loan_Volume]],"&lt;0")</f>
        <v>0</v>
      </c>
      <c r="S72">
        <f>COUNTIF(data_validation[[#This Row],[Loan_Stock]],"&lt;0")</f>
        <v>0</v>
      </c>
    </row>
    <row r="73" spans="1:19" x14ac:dyDescent="0.35">
      <c r="A73" s="1">
        <v>45657</v>
      </c>
      <c r="B73" t="s">
        <v>77</v>
      </c>
      <c r="C73">
        <f>YEAR(data_validation[[#This Row],[DATE]])</f>
        <v>2024</v>
      </c>
      <c r="D73" s="4">
        <v>4.24</v>
      </c>
      <c r="E73" s="4">
        <v>75940</v>
      </c>
      <c r="F73" s="4">
        <v>1362703</v>
      </c>
      <c r="G73" s="4">
        <f>_xlfn.XLOOKUP(data_validation[[#This Row],[DATE]],Table1[DATE],Table1[Deposit facility - date of changes (raw data) - Level (FM.D.U2.EUR.4F.KR.DFR.LEV)],,-1)</f>
        <v>3</v>
      </c>
      <c r="H73" s="4">
        <f>data_validation[[#This Row],[Corporate_Loan_Rate]]-data_validation[[#This Row],[ECB_DFR]]</f>
        <v>1.2400000000000002</v>
      </c>
      <c r="I73" s="5">
        <f>IFERROR(data_validation[[#This Row],[New_Loan_Volume]]/_xlfn.XLOOKUP(EOMONTH(data_validation[[#This Row],[DATE]],-12),data_validation[DATE],data_validation[New_Loan_Volume])-1,"")</f>
        <v>-1.2432376196421124E-2</v>
      </c>
      <c r="J73" s="5">
        <f>IFERROR(data_validation[[#This Row],[Loan_Stock]]/_xlfn.XLOOKUP(EOMONTH(data_validation[[#This Row],[DATE]],-12),data_validation[DATE],data_validation[Loan_Stock])-1,"")</f>
        <v>6.7153610374603989E-3</v>
      </c>
      <c r="K73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68544.333333333328</v>
      </c>
      <c r="L73">
        <f>COUNTIF(data_validation[DATE],data_validation[[#This Row],[DATE]])</f>
        <v>1</v>
      </c>
      <c r="M73">
        <f>COUNTBLANK(data_validation[[#This Row],[Corporate_Loan_Rate]])</f>
        <v>0</v>
      </c>
      <c r="N73">
        <f>COUNTBLANK(data_validation[[#This Row],[New_Loan_Volume]])</f>
        <v>0</v>
      </c>
      <c r="O73">
        <f>COUNTBLANK(data_validation[[#This Row],[Loan_Stock]])</f>
        <v>0</v>
      </c>
      <c r="P73">
        <f>COUNTBLANK(data_validation[[#This Row],[ECB_DFR]])</f>
        <v>0</v>
      </c>
      <c r="Q73">
        <f t="shared" si="1"/>
        <v>1</v>
      </c>
      <c r="R73">
        <f>COUNTIF(data_validation[[#This Row],[New_Loan_Volume]],"&lt;0")</f>
        <v>0</v>
      </c>
      <c r="S73">
        <f>COUNTIF(data_validation[[#This Row],[Loan_Stock]],"&lt;0")</f>
        <v>0</v>
      </c>
    </row>
    <row r="74" spans="1:19" x14ac:dyDescent="0.35">
      <c r="A74" s="1">
        <v>45688</v>
      </c>
      <c r="B74" t="s">
        <v>78</v>
      </c>
      <c r="C74">
        <f>YEAR(data_validation[[#This Row],[DATE]])</f>
        <v>2025</v>
      </c>
      <c r="D74" s="4">
        <v>4.24</v>
      </c>
      <c r="E74" s="4">
        <v>52859</v>
      </c>
      <c r="F74" s="4">
        <v>1365920</v>
      </c>
      <c r="G74" s="4">
        <f>_xlfn.XLOOKUP(data_validation[[#This Row],[DATE]],Table1[DATE],Table1[Deposit facility - date of changes (raw data) - Level (FM.D.U2.EUR.4F.KR.DFR.LEV)],,-1)</f>
        <v>3</v>
      </c>
      <c r="H74" s="4">
        <f>data_validation[[#This Row],[Corporate_Loan_Rate]]-data_validation[[#This Row],[ECB_DFR]]</f>
        <v>1.2400000000000002</v>
      </c>
      <c r="I74" s="5">
        <f>IFERROR(data_validation[[#This Row],[New_Loan_Volume]]/_xlfn.XLOOKUP(EOMONTH(data_validation[[#This Row],[DATE]],-12),data_validation[DATE],data_validation[New_Loan_Volume])-1,"")</f>
        <v>-7.6036347251426939E-3</v>
      </c>
      <c r="J74" s="5">
        <f>IFERROR(data_validation[[#This Row],[Loan_Stock]]/_xlfn.XLOOKUP(EOMONTH(data_validation[[#This Row],[DATE]],-12),data_validation[DATE],data_validation[Loan_Stock])-1,"")</f>
        <v>6.733569971344E-3</v>
      </c>
      <c r="K74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62444.666666666664</v>
      </c>
      <c r="L74">
        <f>COUNTIF(data_validation[DATE],data_validation[[#This Row],[DATE]])</f>
        <v>1</v>
      </c>
      <c r="M74">
        <f>COUNTBLANK(data_validation[[#This Row],[Corporate_Loan_Rate]])</f>
        <v>0</v>
      </c>
      <c r="N74">
        <f>COUNTBLANK(data_validation[[#This Row],[New_Loan_Volume]])</f>
        <v>0</v>
      </c>
      <c r="O74">
        <f>COUNTBLANK(data_validation[[#This Row],[Loan_Stock]])</f>
        <v>0</v>
      </c>
      <c r="P74">
        <f>COUNTBLANK(data_validation[[#This Row],[ECB_DFR]])</f>
        <v>0</v>
      </c>
      <c r="Q74">
        <f t="shared" si="1"/>
        <v>1</v>
      </c>
      <c r="R74">
        <f>COUNTIF(data_validation[[#This Row],[New_Loan_Volume]],"&lt;0")</f>
        <v>0</v>
      </c>
      <c r="S74">
        <f>COUNTIF(data_validation[[#This Row],[Loan_Stock]],"&lt;0")</f>
        <v>0</v>
      </c>
    </row>
    <row r="75" spans="1:19" x14ac:dyDescent="0.35">
      <c r="A75" s="1">
        <v>45716</v>
      </c>
      <c r="B75" t="s">
        <v>79</v>
      </c>
      <c r="C75">
        <f>YEAR(data_validation[[#This Row],[DATE]])</f>
        <v>2025</v>
      </c>
      <c r="D75" s="4">
        <v>4.09</v>
      </c>
      <c r="E75" s="4">
        <v>54450</v>
      </c>
      <c r="F75" s="4">
        <v>1370357</v>
      </c>
      <c r="G75" s="4">
        <f>_xlfn.XLOOKUP(data_validation[[#This Row],[DATE]],Table1[DATE],Table1[Deposit facility - date of changes (raw data) - Level (FM.D.U2.EUR.4F.KR.DFR.LEV)],,-1)</f>
        <v>2.75</v>
      </c>
      <c r="H75" s="4">
        <f>data_validation[[#This Row],[Corporate_Loan_Rate]]-data_validation[[#This Row],[ECB_DFR]]</f>
        <v>1.3399999999999999</v>
      </c>
      <c r="I75" s="5">
        <f>IFERROR(data_validation[[#This Row],[New_Loan_Volume]]/_xlfn.XLOOKUP(EOMONTH(data_validation[[#This Row],[DATE]],-12),data_validation[DATE],data_validation[New_Loan_Volume])-1,"")</f>
        <v>9.8481054915706689E-3</v>
      </c>
      <c r="J75" s="5">
        <f>IFERROR(data_validation[[#This Row],[Loan_Stock]]/_xlfn.XLOOKUP(EOMONTH(data_validation[[#This Row],[DATE]],-12),data_validation[DATE],data_validation[Loan_Stock])-1,"")</f>
        <v>7.1281688712372393E-3</v>
      </c>
      <c r="K75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61083</v>
      </c>
      <c r="L75">
        <f>COUNTIF(data_validation[DATE],data_validation[[#This Row],[DATE]])</f>
        <v>1</v>
      </c>
      <c r="M75">
        <f>COUNTBLANK(data_validation[[#This Row],[Corporate_Loan_Rate]])</f>
        <v>0</v>
      </c>
      <c r="N75">
        <f>COUNTBLANK(data_validation[[#This Row],[New_Loan_Volume]])</f>
        <v>0</v>
      </c>
      <c r="O75">
        <f>COUNTBLANK(data_validation[[#This Row],[Loan_Stock]])</f>
        <v>0</v>
      </c>
      <c r="P75">
        <f>COUNTBLANK(data_validation[[#This Row],[ECB_DFR]])</f>
        <v>0</v>
      </c>
      <c r="Q75">
        <f t="shared" si="1"/>
        <v>1</v>
      </c>
      <c r="R75">
        <f>COUNTIF(data_validation[[#This Row],[New_Loan_Volume]],"&lt;0")</f>
        <v>0</v>
      </c>
      <c r="S75">
        <f>COUNTIF(data_validation[[#This Row],[Loan_Stock]],"&lt;0")</f>
        <v>0</v>
      </c>
    </row>
    <row r="76" spans="1:19" x14ac:dyDescent="0.35">
      <c r="A76" s="1">
        <v>45747</v>
      </c>
      <c r="B76" t="s">
        <v>80</v>
      </c>
      <c r="C76">
        <f>YEAR(data_validation[[#This Row],[DATE]])</f>
        <v>2025</v>
      </c>
      <c r="D76" s="4">
        <v>3.66</v>
      </c>
      <c r="E76" s="4">
        <v>85751</v>
      </c>
      <c r="F76" s="4">
        <v>1369480</v>
      </c>
      <c r="G76" s="4">
        <f>_xlfn.XLOOKUP(data_validation[[#This Row],[DATE]],Table1[DATE],Table1[Deposit facility - date of changes (raw data) - Level (FM.D.U2.EUR.4F.KR.DFR.LEV)],,-1)</f>
        <v>2.5</v>
      </c>
      <c r="H76" s="4">
        <f>data_validation[[#This Row],[Corporate_Loan_Rate]]-data_validation[[#This Row],[ECB_DFR]]</f>
        <v>1.1600000000000001</v>
      </c>
      <c r="I76" s="5">
        <f>IFERROR(data_validation[[#This Row],[New_Loan_Volume]]/_xlfn.XLOOKUP(EOMONTH(data_validation[[#This Row],[DATE]],-12),data_validation[DATE],data_validation[New_Loan_Volume])-1,"")</f>
        <v>0.30370201444317746</v>
      </c>
      <c r="J76" s="5">
        <f>IFERROR(data_validation[[#This Row],[Loan_Stock]]/_xlfn.XLOOKUP(EOMONTH(data_validation[[#This Row],[DATE]],-12),data_validation[DATE],data_validation[Loan_Stock])-1,"")</f>
        <v>6.1937474743765097E-3</v>
      </c>
      <c r="K76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64353.333333333336</v>
      </c>
      <c r="L76">
        <f>COUNTIF(data_validation[DATE],data_validation[[#This Row],[DATE]])</f>
        <v>1</v>
      </c>
      <c r="M76">
        <f>COUNTBLANK(data_validation[[#This Row],[Corporate_Loan_Rate]])</f>
        <v>0</v>
      </c>
      <c r="N76">
        <f>COUNTBLANK(data_validation[[#This Row],[New_Loan_Volume]])</f>
        <v>0</v>
      </c>
      <c r="O76">
        <f>COUNTBLANK(data_validation[[#This Row],[Loan_Stock]])</f>
        <v>0</v>
      </c>
      <c r="P76">
        <f>COUNTBLANK(data_validation[[#This Row],[ECB_DFR]])</f>
        <v>0</v>
      </c>
      <c r="Q76">
        <f t="shared" si="1"/>
        <v>1</v>
      </c>
      <c r="R76">
        <f>COUNTIF(data_validation[[#This Row],[New_Loan_Volume]],"&lt;0")</f>
        <v>0</v>
      </c>
      <c r="S76">
        <f>COUNTIF(data_validation[[#This Row],[Loan_Stock]],"&lt;0")</f>
        <v>0</v>
      </c>
    </row>
    <row r="77" spans="1:19" x14ac:dyDescent="0.35">
      <c r="A77" s="1">
        <v>45777</v>
      </c>
      <c r="B77" t="s">
        <v>81</v>
      </c>
      <c r="C77">
        <f>YEAR(data_validation[[#This Row],[DATE]])</f>
        <v>2025</v>
      </c>
      <c r="D77" s="4">
        <v>3.57</v>
      </c>
      <c r="E77" s="4">
        <v>72461</v>
      </c>
      <c r="F77" s="4">
        <v>1370428</v>
      </c>
      <c r="G77" s="4">
        <f>_xlfn.XLOOKUP(data_validation[[#This Row],[DATE]],Table1[DATE],Table1[Deposit facility - date of changes (raw data) - Level (FM.D.U2.EUR.4F.KR.DFR.LEV)],,-1)</f>
        <v>2.25</v>
      </c>
      <c r="H77" s="4">
        <f>data_validation[[#This Row],[Corporate_Loan_Rate]]-data_validation[[#This Row],[ECB_DFR]]</f>
        <v>1.3199999999999998</v>
      </c>
      <c r="I77" s="5">
        <f>IFERROR(data_validation[[#This Row],[New_Loan_Volume]]/_xlfn.XLOOKUP(EOMONTH(data_validation[[#This Row],[DATE]],-12),data_validation[DATE],data_validation[New_Loan_Volume])-1,"")</f>
        <v>0.2800939829700031</v>
      </c>
      <c r="J77" s="5">
        <f>IFERROR(data_validation[[#This Row],[Loan_Stock]]/_xlfn.XLOOKUP(EOMONTH(data_validation[[#This Row],[DATE]],-12),data_validation[DATE],data_validation[Loan_Stock])-1,"")</f>
        <v>7.2854711006706818E-3</v>
      </c>
      <c r="K77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70887.333333333328</v>
      </c>
      <c r="L77">
        <f>COUNTIF(data_validation[DATE],data_validation[[#This Row],[DATE]])</f>
        <v>1</v>
      </c>
      <c r="M77">
        <f>COUNTBLANK(data_validation[[#This Row],[Corporate_Loan_Rate]])</f>
        <v>0</v>
      </c>
      <c r="N77">
        <f>COUNTBLANK(data_validation[[#This Row],[New_Loan_Volume]])</f>
        <v>0</v>
      </c>
      <c r="O77">
        <f>COUNTBLANK(data_validation[[#This Row],[Loan_Stock]])</f>
        <v>0</v>
      </c>
      <c r="P77">
        <f>COUNTBLANK(data_validation[[#This Row],[ECB_DFR]])</f>
        <v>0</v>
      </c>
      <c r="Q77">
        <f t="shared" si="1"/>
        <v>1</v>
      </c>
      <c r="R77">
        <f>COUNTIF(data_validation[[#This Row],[New_Loan_Volume]],"&lt;0")</f>
        <v>0</v>
      </c>
      <c r="S77">
        <f>COUNTIF(data_validation[[#This Row],[Loan_Stock]],"&lt;0")</f>
        <v>0</v>
      </c>
    </row>
    <row r="78" spans="1:19" x14ac:dyDescent="0.35">
      <c r="A78" s="1">
        <v>45808</v>
      </c>
      <c r="B78" t="s">
        <v>82</v>
      </c>
      <c r="C78">
        <f>YEAR(data_validation[[#This Row],[DATE]])</f>
        <v>2025</v>
      </c>
      <c r="D78" s="4">
        <v>3.39</v>
      </c>
      <c r="E78" s="4">
        <v>70087</v>
      </c>
      <c r="F78" s="4">
        <v>1370056</v>
      </c>
      <c r="G78" s="4">
        <f>_xlfn.XLOOKUP(data_validation[[#This Row],[DATE]],Table1[DATE],Table1[Deposit facility - date of changes (raw data) - Level (FM.D.U2.EUR.4F.KR.DFR.LEV)],,-1)</f>
        <v>2.25</v>
      </c>
      <c r="H78" s="4">
        <f>data_validation[[#This Row],[Corporate_Loan_Rate]]-data_validation[[#This Row],[ECB_DFR]]</f>
        <v>1.1400000000000001</v>
      </c>
      <c r="I78" s="5">
        <f>IFERROR(data_validation[[#This Row],[New_Loan_Volume]]/_xlfn.XLOOKUP(EOMONTH(data_validation[[#This Row],[DATE]],-12),data_validation[DATE],data_validation[New_Loan_Volume])-1,"")</f>
        <v>0.13821943614395216</v>
      </c>
      <c r="J78" s="5">
        <f>IFERROR(data_validation[[#This Row],[Loan_Stock]]/_xlfn.XLOOKUP(EOMONTH(data_validation[[#This Row],[DATE]],-12),data_validation[DATE],data_validation[Loan_Stock])-1,"")</f>
        <v>5.2594197028663636E-3</v>
      </c>
      <c r="K78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76099.666666666672</v>
      </c>
      <c r="L78">
        <f>COUNTIF(data_validation[DATE],data_validation[[#This Row],[DATE]])</f>
        <v>1</v>
      </c>
      <c r="M78">
        <f>COUNTBLANK(data_validation[[#This Row],[Corporate_Loan_Rate]])</f>
        <v>0</v>
      </c>
      <c r="N78">
        <f>COUNTBLANK(data_validation[[#This Row],[New_Loan_Volume]])</f>
        <v>0</v>
      </c>
      <c r="O78">
        <f>COUNTBLANK(data_validation[[#This Row],[Loan_Stock]])</f>
        <v>0</v>
      </c>
      <c r="P78">
        <f>COUNTBLANK(data_validation[[#This Row],[ECB_DFR]])</f>
        <v>0</v>
      </c>
      <c r="Q78">
        <f t="shared" si="1"/>
        <v>1</v>
      </c>
      <c r="R78">
        <f>COUNTIF(data_validation[[#This Row],[New_Loan_Volume]],"&lt;0")</f>
        <v>0</v>
      </c>
      <c r="S78">
        <f>COUNTIF(data_validation[[#This Row],[Loan_Stock]],"&lt;0")</f>
        <v>0</v>
      </c>
    </row>
    <row r="79" spans="1:19" x14ac:dyDescent="0.35">
      <c r="A79" s="1">
        <v>45838</v>
      </c>
      <c r="B79" t="s">
        <v>83</v>
      </c>
      <c r="C79">
        <f>YEAR(data_validation[[#This Row],[DATE]])</f>
        <v>2025</v>
      </c>
      <c r="D79" s="4">
        <v>3.42</v>
      </c>
      <c r="E79" s="4">
        <v>80306</v>
      </c>
      <c r="F79" s="4">
        <v>1368802</v>
      </c>
      <c r="G79" s="4">
        <f>_xlfn.XLOOKUP(data_validation[[#This Row],[DATE]],Table1[DATE],Table1[Deposit facility - date of changes (raw data) - Level (FM.D.U2.EUR.4F.KR.DFR.LEV)],,-1)</f>
        <v>2</v>
      </c>
      <c r="H79" s="4">
        <f>data_validation[[#This Row],[Corporate_Loan_Rate]]-data_validation[[#This Row],[ECB_DFR]]</f>
        <v>1.42</v>
      </c>
      <c r="I79" s="5">
        <f>IFERROR(data_validation[[#This Row],[New_Loan_Volume]]/_xlfn.XLOOKUP(EOMONTH(data_validation[[#This Row],[DATE]],-12),data_validation[DATE],data_validation[New_Loan_Volume])-1,"")</f>
        <v>0.14521626285241651</v>
      </c>
      <c r="J79" s="5">
        <f>IFERROR(data_validation[[#This Row],[Loan_Stock]]/_xlfn.XLOOKUP(EOMONTH(data_validation[[#This Row],[DATE]],-12),data_validation[DATE],data_validation[Loan_Stock])-1,"")</f>
        <v>4.3245765671637848E-3</v>
      </c>
      <c r="K79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74284.666666666672</v>
      </c>
      <c r="L79">
        <f>COUNTIF(data_validation[DATE],data_validation[[#This Row],[DATE]])</f>
        <v>1</v>
      </c>
      <c r="M79">
        <f>COUNTBLANK(data_validation[[#This Row],[Corporate_Loan_Rate]])</f>
        <v>0</v>
      </c>
      <c r="N79">
        <f>COUNTBLANK(data_validation[[#This Row],[New_Loan_Volume]])</f>
        <v>0</v>
      </c>
      <c r="O79">
        <f>COUNTBLANK(data_validation[[#This Row],[Loan_Stock]])</f>
        <v>0</v>
      </c>
      <c r="P79">
        <f>COUNTBLANK(data_validation[[#This Row],[ECB_DFR]])</f>
        <v>0</v>
      </c>
      <c r="Q79">
        <f t="shared" si="1"/>
        <v>1</v>
      </c>
      <c r="R79">
        <f>COUNTIF(data_validation[[#This Row],[New_Loan_Volume]],"&lt;0")</f>
        <v>0</v>
      </c>
      <c r="S79">
        <f>COUNTIF(data_validation[[#This Row],[Loan_Stock]],"&lt;0")</f>
        <v>0</v>
      </c>
    </row>
    <row r="80" spans="1:19" x14ac:dyDescent="0.35">
      <c r="A80" s="1">
        <v>45869</v>
      </c>
      <c r="B80" t="s">
        <v>84</v>
      </c>
      <c r="C80">
        <f>YEAR(data_validation[[#This Row],[DATE]])</f>
        <v>2025</v>
      </c>
      <c r="D80" s="4">
        <v>3.27</v>
      </c>
      <c r="E80" s="4">
        <v>76197</v>
      </c>
      <c r="F80" s="4">
        <v>1369665</v>
      </c>
      <c r="G80" s="4">
        <f>_xlfn.XLOOKUP(data_validation[[#This Row],[DATE]],Table1[DATE],Table1[Deposit facility - date of changes (raw data) - Level (FM.D.U2.EUR.4F.KR.DFR.LEV)],,-1)</f>
        <v>2</v>
      </c>
      <c r="H80" s="4">
        <f>data_validation[[#This Row],[Corporate_Loan_Rate]]-data_validation[[#This Row],[ECB_DFR]]</f>
        <v>1.27</v>
      </c>
      <c r="I80" s="5">
        <f>IFERROR(data_validation[[#This Row],[New_Loan_Volume]]/_xlfn.XLOOKUP(EOMONTH(data_validation[[#This Row],[DATE]],-12),data_validation[DATE],data_validation[New_Loan_Volume])-1,"")</f>
        <v>0.26592015417587356</v>
      </c>
      <c r="J80" s="5">
        <f>IFERROR(data_validation[[#This Row],[Loan_Stock]]/_xlfn.XLOOKUP(EOMONTH(data_validation[[#This Row],[DATE]],-12),data_validation[DATE],data_validation[Loan_Stock])-1,"")</f>
        <v>5.8182827584079E-3</v>
      </c>
      <c r="K80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75530</v>
      </c>
      <c r="L80">
        <f>COUNTIF(data_validation[DATE],data_validation[[#This Row],[DATE]])</f>
        <v>1</v>
      </c>
      <c r="M80">
        <f>COUNTBLANK(data_validation[[#This Row],[Corporate_Loan_Rate]])</f>
        <v>0</v>
      </c>
      <c r="N80">
        <f>COUNTBLANK(data_validation[[#This Row],[New_Loan_Volume]])</f>
        <v>0</v>
      </c>
      <c r="O80">
        <f>COUNTBLANK(data_validation[[#This Row],[Loan_Stock]])</f>
        <v>0</v>
      </c>
      <c r="P80">
        <f>COUNTBLANK(data_validation[[#This Row],[ECB_DFR]])</f>
        <v>0</v>
      </c>
      <c r="Q80">
        <f t="shared" si="1"/>
        <v>1</v>
      </c>
      <c r="R80">
        <f>COUNTIF(data_validation[[#This Row],[New_Loan_Volume]],"&lt;0")</f>
        <v>0</v>
      </c>
      <c r="S80">
        <f>COUNTIF(data_validation[[#This Row],[Loan_Stock]],"&lt;0")</f>
        <v>0</v>
      </c>
    </row>
    <row r="81" spans="1:19" x14ac:dyDescent="0.35">
      <c r="A81" s="1">
        <v>45900</v>
      </c>
      <c r="B81" t="s">
        <v>85</v>
      </c>
      <c r="C81">
        <f>YEAR(data_validation[[#This Row],[DATE]])</f>
        <v>2025</v>
      </c>
      <c r="D81" s="4">
        <v>3.13</v>
      </c>
      <c r="E81" s="4">
        <v>64868</v>
      </c>
      <c r="F81" s="4">
        <v>1376759</v>
      </c>
      <c r="G81" s="4">
        <f>_xlfn.XLOOKUP(data_validation[[#This Row],[DATE]],Table1[DATE],Table1[Deposit facility - date of changes (raw data) - Level (FM.D.U2.EUR.4F.KR.DFR.LEV)],,-1)</f>
        <v>2</v>
      </c>
      <c r="H81" s="4">
        <f>data_validation[[#This Row],[Corporate_Loan_Rate]]-data_validation[[#This Row],[ECB_DFR]]</f>
        <v>1.1299999999999999</v>
      </c>
      <c r="I81" s="5">
        <f>IFERROR(data_validation[[#This Row],[New_Loan_Volume]]/_xlfn.XLOOKUP(EOMONTH(data_validation[[#This Row],[DATE]],-12),data_validation[DATE],data_validation[New_Loan_Volume])-1,"")</f>
        <v>0.1564366320218209</v>
      </c>
      <c r="J81" s="5">
        <f>IFERROR(data_validation[[#This Row],[Loan_Stock]]/_xlfn.XLOOKUP(EOMONTH(data_validation[[#This Row],[DATE]],-12),data_validation[DATE],data_validation[Loan_Stock])-1,"")</f>
        <v>1.1214918949092434E-2</v>
      </c>
      <c r="K81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73790.333333333328</v>
      </c>
      <c r="L81">
        <f>COUNTIF(data_validation[DATE],data_validation[[#This Row],[DATE]])</f>
        <v>1</v>
      </c>
      <c r="M81">
        <f>COUNTBLANK(data_validation[[#This Row],[Corporate_Loan_Rate]])</f>
        <v>0</v>
      </c>
      <c r="N81">
        <f>COUNTBLANK(data_validation[[#This Row],[New_Loan_Volume]])</f>
        <v>0</v>
      </c>
      <c r="O81">
        <f>COUNTBLANK(data_validation[[#This Row],[Loan_Stock]])</f>
        <v>0</v>
      </c>
      <c r="P81">
        <f>COUNTBLANK(data_validation[[#This Row],[ECB_DFR]])</f>
        <v>0</v>
      </c>
      <c r="Q81">
        <f t="shared" si="1"/>
        <v>1</v>
      </c>
      <c r="R81">
        <f>COUNTIF(data_validation[[#This Row],[New_Loan_Volume]],"&lt;0")</f>
        <v>0</v>
      </c>
      <c r="S81">
        <f>COUNTIF(data_validation[[#This Row],[Loan_Stock]],"&lt;0")</f>
        <v>0</v>
      </c>
    </row>
    <row r="82" spans="1:19" x14ac:dyDescent="0.35">
      <c r="A82" s="1">
        <v>45930</v>
      </c>
      <c r="B82" t="s">
        <v>86</v>
      </c>
      <c r="C82">
        <f>YEAR(data_validation[[#This Row],[DATE]])</f>
        <v>2025</v>
      </c>
      <c r="D82" s="4">
        <v>3.23</v>
      </c>
      <c r="E82" s="4">
        <v>80367</v>
      </c>
      <c r="F82" s="4">
        <v>1370695</v>
      </c>
      <c r="G82" s="4">
        <f>_xlfn.XLOOKUP(data_validation[[#This Row],[DATE]],Table1[DATE],Table1[Deposit facility - date of changes (raw data) - Level (FM.D.U2.EUR.4F.KR.DFR.LEV)],,-1)</f>
        <v>2</v>
      </c>
      <c r="H82" s="4">
        <f>data_validation[[#This Row],[Corporate_Loan_Rate]]-data_validation[[#This Row],[ECB_DFR]]</f>
        <v>1.23</v>
      </c>
      <c r="I82" s="5">
        <f>IFERROR(data_validation[[#This Row],[New_Loan_Volume]]/_xlfn.XLOOKUP(EOMONTH(data_validation[[#This Row],[DATE]],-12),data_validation[DATE],data_validation[New_Loan_Volume])-1,"")</f>
        <v>4.1212136916020992E-2</v>
      </c>
      <c r="J82" s="5">
        <f>IFERROR(data_validation[[#This Row],[Loan_Stock]]/_xlfn.XLOOKUP(EOMONTH(data_validation[[#This Row],[DATE]],-12),data_validation[DATE],data_validation[Loan_Stock])-1,"")</f>
        <v>7.3447436284679313E-3</v>
      </c>
      <c r="K82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73810.666666666672</v>
      </c>
      <c r="L82">
        <f>COUNTIF(data_validation[DATE],data_validation[[#This Row],[DATE]])</f>
        <v>1</v>
      </c>
      <c r="M82">
        <f>COUNTBLANK(data_validation[[#This Row],[Corporate_Loan_Rate]])</f>
        <v>0</v>
      </c>
      <c r="N82">
        <f>COUNTBLANK(data_validation[[#This Row],[New_Loan_Volume]])</f>
        <v>0</v>
      </c>
      <c r="O82">
        <f>COUNTBLANK(data_validation[[#This Row],[Loan_Stock]])</f>
        <v>0</v>
      </c>
      <c r="P82">
        <f>COUNTBLANK(data_validation[[#This Row],[ECB_DFR]])</f>
        <v>0</v>
      </c>
      <c r="Q82">
        <f t="shared" si="1"/>
        <v>1</v>
      </c>
      <c r="R82">
        <f>COUNTIF(data_validation[[#This Row],[New_Loan_Volume]],"&lt;0")</f>
        <v>0</v>
      </c>
      <c r="S82">
        <f>COUNTIF(data_validation[[#This Row],[Loan_Stock]],"&lt;0")</f>
        <v>0</v>
      </c>
    </row>
    <row r="83" spans="1:19" x14ac:dyDescent="0.35">
      <c r="A83" s="1">
        <v>45961</v>
      </c>
      <c r="B83" t="s">
        <v>87</v>
      </c>
      <c r="C83">
        <f>YEAR(data_validation[[#This Row],[DATE]])</f>
        <v>2025</v>
      </c>
      <c r="D83" s="4">
        <v>3.25</v>
      </c>
      <c r="E83" s="4">
        <v>74794</v>
      </c>
      <c r="F83" s="4">
        <v>1373457</v>
      </c>
      <c r="G83" s="4">
        <f>_xlfn.XLOOKUP(data_validation[[#This Row],[DATE]],Table1[DATE],Table1[Deposit facility - date of changes (raw data) - Level (FM.D.U2.EUR.4F.KR.DFR.LEV)],,-1)</f>
        <v>2</v>
      </c>
      <c r="H83" s="4">
        <f>data_validation[[#This Row],[Corporate_Loan_Rate]]-data_validation[[#This Row],[ECB_DFR]]</f>
        <v>1.25</v>
      </c>
      <c r="I83" s="5">
        <f>IFERROR(data_validation[[#This Row],[New_Loan_Volume]]/_xlfn.XLOOKUP(EOMONTH(data_validation[[#This Row],[DATE]],-12),data_validation[DATE],data_validation[New_Loan_Volume])-1,"")</f>
        <v>5.1097557547991723E-2</v>
      </c>
      <c r="J83" s="5">
        <f>IFERROR(data_validation[[#This Row],[Loan_Stock]]/_xlfn.XLOOKUP(EOMONTH(data_validation[[#This Row],[DATE]],-12),data_validation[DATE],data_validation[Loan_Stock])-1,"")</f>
        <v>1.0998774397043887E-2</v>
      </c>
      <c r="K83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73343</v>
      </c>
      <c r="L83">
        <f>COUNTIF(data_validation[DATE],data_validation[[#This Row],[DATE]])</f>
        <v>1</v>
      </c>
      <c r="M83">
        <f>COUNTBLANK(data_validation[[#This Row],[Corporate_Loan_Rate]])</f>
        <v>0</v>
      </c>
      <c r="N83">
        <f>COUNTBLANK(data_validation[[#This Row],[New_Loan_Volume]])</f>
        <v>0</v>
      </c>
      <c r="O83">
        <f>COUNTBLANK(data_validation[[#This Row],[Loan_Stock]])</f>
        <v>0</v>
      </c>
      <c r="P83">
        <f>COUNTBLANK(data_validation[[#This Row],[ECB_DFR]])</f>
        <v>0</v>
      </c>
      <c r="Q83">
        <f t="shared" si="1"/>
        <v>1</v>
      </c>
      <c r="R83">
        <f>COUNTIF(data_validation[[#This Row],[New_Loan_Volume]],"&lt;0")</f>
        <v>0</v>
      </c>
      <c r="S83">
        <f>COUNTIF(data_validation[[#This Row],[Loan_Stock]],"&lt;0")</f>
        <v>0</v>
      </c>
    </row>
    <row r="84" spans="1:19" x14ac:dyDescent="0.35">
      <c r="A84" s="1">
        <v>45991</v>
      </c>
      <c r="B84" t="s">
        <v>88</v>
      </c>
      <c r="C84">
        <f>YEAR(data_validation[[#This Row],[DATE]])</f>
        <v>2025</v>
      </c>
      <c r="D84" s="4">
        <v>3.26</v>
      </c>
      <c r="E84" s="4">
        <v>75330</v>
      </c>
      <c r="F84" s="4">
        <v>1380117</v>
      </c>
      <c r="G84" s="4">
        <f>_xlfn.XLOOKUP(data_validation[[#This Row],[DATE]],Table1[DATE],Table1[Deposit facility - date of changes (raw data) - Level (FM.D.U2.EUR.4F.KR.DFR.LEV)],,-1)</f>
        <v>2</v>
      </c>
      <c r="H84" s="4">
        <f>data_validation[[#This Row],[Corporate_Loan_Rate]]-data_validation[[#This Row],[ECB_DFR]]</f>
        <v>1.2599999999999998</v>
      </c>
      <c r="I84" s="5">
        <f>IFERROR(data_validation[[#This Row],[New_Loan_Volume]]/_xlfn.XLOOKUP(EOMONTH(data_validation[[#This Row],[DATE]],-12),data_validation[DATE],data_validation[New_Loan_Volume])-1,"")</f>
        <v>0.28692235414709155</v>
      </c>
      <c r="J84" s="5">
        <f>IFERROR(data_validation[[#This Row],[Loan_Stock]]/_xlfn.XLOOKUP(EOMONTH(data_validation[[#This Row],[DATE]],-12),data_validation[DATE],data_validation[Loan_Stock])-1,"")</f>
        <v>1.1273275632138757E-2</v>
      </c>
      <c r="K84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76830.333333333328</v>
      </c>
      <c r="L84">
        <f>COUNTIF(data_validation[DATE],data_validation[[#This Row],[DATE]])</f>
        <v>1</v>
      </c>
      <c r="M84">
        <f>COUNTBLANK(data_validation[[#This Row],[Corporate_Loan_Rate]])</f>
        <v>0</v>
      </c>
      <c r="N84">
        <f>COUNTBLANK(data_validation[[#This Row],[New_Loan_Volume]])</f>
        <v>0</v>
      </c>
      <c r="O84">
        <f>COUNTBLANK(data_validation[[#This Row],[Loan_Stock]])</f>
        <v>0</v>
      </c>
      <c r="P84">
        <f>COUNTBLANK(data_validation[[#This Row],[ECB_DFR]])</f>
        <v>0</v>
      </c>
      <c r="Q84">
        <f t="shared" si="1"/>
        <v>1</v>
      </c>
      <c r="R84">
        <f>COUNTIF(data_validation[[#This Row],[New_Loan_Volume]],"&lt;0")</f>
        <v>0</v>
      </c>
      <c r="S84">
        <f>COUNTIF(data_validation[[#This Row],[Loan_Stock]],"&lt;0")</f>
        <v>0</v>
      </c>
    </row>
    <row r="85" spans="1:19" x14ac:dyDescent="0.35">
      <c r="A85" s="1">
        <v>46022</v>
      </c>
      <c r="B85" t="s">
        <v>89</v>
      </c>
      <c r="C85">
        <f>YEAR(data_validation[[#This Row],[DATE]])</f>
        <v>2025</v>
      </c>
      <c r="D85" s="4">
        <v>3.45</v>
      </c>
      <c r="E85" s="4">
        <v>92307</v>
      </c>
      <c r="F85" s="4">
        <v>1372452</v>
      </c>
      <c r="G85" s="4">
        <f>_xlfn.XLOOKUP(data_validation[[#This Row],[DATE]],Table1[DATE],Table1[Deposit facility - date of changes (raw data) - Level (FM.D.U2.EUR.4F.KR.DFR.LEV)],,-1)</f>
        <v>2</v>
      </c>
      <c r="H85" s="4">
        <f>data_validation[[#This Row],[Corporate_Loan_Rate]]-data_validation[[#This Row],[ECB_DFR]]</f>
        <v>1.4500000000000002</v>
      </c>
      <c r="I85" s="5">
        <f>IFERROR(data_validation[[#This Row],[New_Loan_Volume]]/_xlfn.XLOOKUP(EOMONTH(data_validation[[#This Row],[DATE]],-12),data_validation[DATE],data_validation[New_Loan_Volume])-1,"")</f>
        <v>0.21552541480115872</v>
      </c>
      <c r="J85" s="5">
        <f>IFERROR(data_validation[[#This Row],[Loan_Stock]]/_xlfn.XLOOKUP(EOMONTH(data_validation[[#This Row],[DATE]],-12),data_validation[DATE],data_validation[Loan_Stock])-1,"")</f>
        <v>7.1541634530782883E-3</v>
      </c>
      <c r="K85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80810.333333333328</v>
      </c>
      <c r="L85">
        <f>COUNTIF(data_validation[DATE],data_validation[[#This Row],[DATE]])</f>
        <v>1</v>
      </c>
      <c r="M85">
        <f>COUNTBLANK(data_validation[[#This Row],[Corporate_Loan_Rate]])</f>
        <v>0</v>
      </c>
      <c r="N85">
        <f>COUNTBLANK(data_validation[[#This Row],[New_Loan_Volume]])</f>
        <v>0</v>
      </c>
      <c r="O85">
        <f>COUNTBLANK(data_validation[[#This Row],[Loan_Stock]])</f>
        <v>0</v>
      </c>
      <c r="P85">
        <f>COUNTBLANK(data_validation[[#This Row],[ECB_DFR]])</f>
        <v>0</v>
      </c>
      <c r="Q85">
        <f t="shared" si="1"/>
        <v>1</v>
      </c>
      <c r="R85">
        <f>COUNTIF(data_validation[[#This Row],[New_Loan_Volume]],"&lt;0")</f>
        <v>0</v>
      </c>
      <c r="S85">
        <f>COUNTIF(data_validation[[#This Row],[Loan_Stock]],"&lt;0")</f>
        <v>0</v>
      </c>
    </row>
    <row r="86" spans="1:19" x14ac:dyDescent="0.35">
      <c r="A86" s="1">
        <v>46053</v>
      </c>
      <c r="B86" t="s">
        <v>90</v>
      </c>
      <c r="C86">
        <f>YEAR(data_validation[[#This Row],[DATE]])</f>
        <v>2026</v>
      </c>
      <c r="D86" s="4">
        <v>3.39</v>
      </c>
      <c r="E86" s="4">
        <v>61933</v>
      </c>
      <c r="F86" s="4">
        <v>1363076</v>
      </c>
      <c r="G86" s="4">
        <f>_xlfn.XLOOKUP(data_validation[[#This Row],[DATE]],Table1[DATE],Table1[Deposit facility - date of changes (raw data) - Level (FM.D.U2.EUR.4F.KR.DFR.LEV)],,-1)</f>
        <v>2</v>
      </c>
      <c r="H86" s="4">
        <f>data_validation[[#This Row],[Corporate_Loan_Rate]]-data_validation[[#This Row],[ECB_DFR]]</f>
        <v>1.3900000000000001</v>
      </c>
      <c r="I86" s="5">
        <f>IFERROR(data_validation[[#This Row],[New_Loan_Volume]]/_xlfn.XLOOKUP(EOMONTH(data_validation[[#This Row],[DATE]],-12),data_validation[DATE],data_validation[New_Loan_Volume])-1,"")</f>
        <v>0.17166423882404125</v>
      </c>
      <c r="J86" s="5">
        <f>IFERROR(data_validation[[#This Row],[Loan_Stock]]/_xlfn.XLOOKUP(EOMONTH(data_validation[[#This Row],[DATE]],-12),data_validation[DATE],data_validation[Loan_Stock])-1,"")</f>
        <v>-2.0821131545039062E-3</v>
      </c>
      <c r="K86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76523.333333333328</v>
      </c>
      <c r="L86">
        <f>COUNTIF(data_validation[DATE],data_validation[[#This Row],[DATE]])</f>
        <v>1</v>
      </c>
      <c r="M86">
        <f>COUNTBLANK(data_validation[[#This Row],[Corporate_Loan_Rate]])</f>
        <v>0</v>
      </c>
      <c r="N86">
        <f>COUNTBLANK(data_validation[[#This Row],[New_Loan_Volume]])</f>
        <v>0</v>
      </c>
      <c r="O86">
        <f>COUNTBLANK(data_validation[[#This Row],[Loan_Stock]])</f>
        <v>0</v>
      </c>
      <c r="P86">
        <f>COUNTBLANK(data_validation[[#This Row],[ECB_DFR]])</f>
        <v>0</v>
      </c>
      <c r="Q86">
        <f t="shared" si="1"/>
        <v>1</v>
      </c>
      <c r="R86">
        <f>COUNTIF(data_validation[[#This Row],[New_Loan_Volume]],"&lt;0")</f>
        <v>0</v>
      </c>
      <c r="S86">
        <f>COUNTIF(data_validation[[#This Row],[Loan_Stock]],"&lt;0")</f>
        <v>0</v>
      </c>
    </row>
    <row r="87" spans="1:19" x14ac:dyDescent="0.35">
      <c r="A87" s="1">
        <v>46081</v>
      </c>
      <c r="B87" t="s">
        <v>91</v>
      </c>
      <c r="C87">
        <f>YEAR(data_validation[[#This Row],[DATE]])</f>
        <v>2026</v>
      </c>
      <c r="D87" s="4">
        <v>3.28</v>
      </c>
      <c r="E87" s="4">
        <v>67661</v>
      </c>
      <c r="F87" s="4">
        <v>1368109</v>
      </c>
      <c r="G87" s="4">
        <f>_xlfn.XLOOKUP(data_validation[[#This Row],[DATE]],Table1[DATE],Table1[Deposit facility - date of changes (raw data) - Level (FM.D.U2.EUR.4F.KR.DFR.LEV)],,-1)</f>
        <v>2</v>
      </c>
      <c r="H87" s="4">
        <f>data_validation[[#This Row],[Corporate_Loan_Rate]]-data_validation[[#This Row],[ECB_DFR]]</f>
        <v>1.2799999999999998</v>
      </c>
      <c r="I87" s="5">
        <f>IFERROR(data_validation[[#This Row],[New_Loan_Volume]]/_xlfn.XLOOKUP(EOMONTH(data_validation[[#This Row],[DATE]],-12),data_validation[DATE],data_validation[New_Loan_Volume])-1,"")</f>
        <v>0.24262626262626252</v>
      </c>
      <c r="J87" s="5">
        <f>IFERROR(data_validation[[#This Row],[Loan_Stock]]/_xlfn.XLOOKUP(EOMONTH(data_validation[[#This Row],[DATE]],-12),data_validation[DATE],data_validation[Loan_Stock])-1,"")</f>
        <v>-1.6404484378887974E-3</v>
      </c>
      <c r="K87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73967</v>
      </c>
      <c r="L87">
        <f>COUNTIF(data_validation[DATE],data_validation[[#This Row],[DATE]])</f>
        <v>1</v>
      </c>
      <c r="M87">
        <f>COUNTBLANK(data_validation[[#This Row],[Corporate_Loan_Rate]])</f>
        <v>0</v>
      </c>
      <c r="N87">
        <f>COUNTBLANK(data_validation[[#This Row],[New_Loan_Volume]])</f>
        <v>0</v>
      </c>
      <c r="O87">
        <f>COUNTBLANK(data_validation[[#This Row],[Loan_Stock]])</f>
        <v>0</v>
      </c>
      <c r="P87">
        <f>COUNTBLANK(data_validation[[#This Row],[ECB_DFR]])</f>
        <v>0</v>
      </c>
      <c r="Q87">
        <f t="shared" si="1"/>
        <v>1</v>
      </c>
      <c r="R87">
        <f>COUNTIF(data_validation[[#This Row],[New_Loan_Volume]],"&lt;0")</f>
        <v>0</v>
      </c>
      <c r="S87">
        <f>COUNTIF(data_validation[[#This Row],[Loan_Stock]],"&lt;0")</f>
        <v>0</v>
      </c>
    </row>
    <row r="88" spans="1:19" x14ac:dyDescent="0.35">
      <c r="A88" s="1">
        <v>46112</v>
      </c>
      <c r="B88" t="s">
        <v>92</v>
      </c>
      <c r="C88">
        <f>YEAR(data_validation[[#This Row],[DATE]])</f>
        <v>2026</v>
      </c>
      <c r="D88" s="4">
        <v>3.5</v>
      </c>
      <c r="E88" s="4">
        <v>86234</v>
      </c>
      <c r="F88" s="4">
        <v>1368280</v>
      </c>
      <c r="G88" s="4">
        <f>_xlfn.XLOOKUP(data_validation[[#This Row],[DATE]],Table1[DATE],Table1[Deposit facility - date of changes (raw data) - Level (FM.D.U2.EUR.4F.KR.DFR.LEV)],,-1)</f>
        <v>2</v>
      </c>
      <c r="H88" s="4">
        <f>data_validation[[#This Row],[Corporate_Loan_Rate]]-data_validation[[#This Row],[ECB_DFR]]</f>
        <v>1.5</v>
      </c>
      <c r="I88" s="5">
        <f>IFERROR(data_validation[[#This Row],[New_Loan_Volume]]/_xlfn.XLOOKUP(EOMONTH(data_validation[[#This Row],[DATE]],-12),data_validation[DATE],data_validation[New_Loan_Volume])-1,"")</f>
        <v>5.6325873750744382E-3</v>
      </c>
      <c r="J88" s="5">
        <f>IFERROR(data_validation[[#This Row],[Loan_Stock]]/_xlfn.XLOOKUP(EOMONTH(data_validation[[#This Row],[DATE]],-12),data_validation[DATE],data_validation[Loan_Stock])-1,"")</f>
        <v>-8.7624499810146084E-4</v>
      </c>
      <c r="K88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71942.666666666672</v>
      </c>
      <c r="L88">
        <f>COUNTIF(data_validation[DATE],data_validation[[#This Row],[DATE]])</f>
        <v>1</v>
      </c>
      <c r="M88">
        <f>COUNTBLANK(data_validation[[#This Row],[Corporate_Loan_Rate]])</f>
        <v>0</v>
      </c>
      <c r="N88">
        <f>COUNTBLANK(data_validation[[#This Row],[New_Loan_Volume]])</f>
        <v>0</v>
      </c>
      <c r="O88">
        <f>COUNTBLANK(data_validation[[#This Row],[Loan_Stock]])</f>
        <v>0</v>
      </c>
      <c r="P88">
        <f>COUNTBLANK(data_validation[[#This Row],[ECB_DFR]])</f>
        <v>0</v>
      </c>
      <c r="Q88">
        <f t="shared" si="1"/>
        <v>1</v>
      </c>
      <c r="R88">
        <f>COUNTIF(data_validation[[#This Row],[New_Loan_Volume]],"&lt;0")</f>
        <v>0</v>
      </c>
      <c r="S88">
        <f>COUNTIF(data_validation[[#This Row],[Loan_Stock]],"&lt;0")</f>
        <v>0</v>
      </c>
    </row>
    <row r="89" spans="1:19" x14ac:dyDescent="0.35">
      <c r="A89" s="1">
        <v>46142</v>
      </c>
      <c r="B89" t="s">
        <v>93</v>
      </c>
      <c r="C89">
        <f>YEAR(data_validation[[#This Row],[DATE]])</f>
        <v>2026</v>
      </c>
      <c r="D89" s="4">
        <v>3.48</v>
      </c>
      <c r="E89" s="4">
        <v>69790</v>
      </c>
      <c r="F89" s="4">
        <v>1371233</v>
      </c>
      <c r="G89" s="4">
        <f>_xlfn.XLOOKUP(data_validation[[#This Row],[DATE]],Table1[DATE],Table1[Deposit facility - date of changes (raw data) - Level (FM.D.U2.EUR.4F.KR.DFR.LEV)],,-1)</f>
        <v>2</v>
      </c>
      <c r="H89" s="4">
        <f>data_validation[[#This Row],[Corporate_Loan_Rate]]-data_validation[[#This Row],[ECB_DFR]]</f>
        <v>1.48</v>
      </c>
      <c r="I89" s="5">
        <f>IFERROR(data_validation[[#This Row],[New_Loan_Volume]]/_xlfn.XLOOKUP(EOMONTH(data_validation[[#This Row],[DATE]],-12),data_validation[DATE],data_validation[New_Loan_Volume])-1,"")</f>
        <v>-3.6861208098149301E-2</v>
      </c>
      <c r="J89" s="5">
        <f>IFERROR(data_validation[[#This Row],[Loan_Stock]]/_xlfn.XLOOKUP(EOMONTH(data_validation[[#This Row],[DATE]],-12),data_validation[DATE],data_validation[Loan_Stock])-1,"")</f>
        <v>5.8740772955601095E-4</v>
      </c>
      <c r="K89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74561.666666666672</v>
      </c>
      <c r="L89">
        <f>COUNTIF(data_validation[DATE],data_validation[[#This Row],[DATE]])</f>
        <v>1</v>
      </c>
      <c r="M89">
        <f>COUNTBLANK(data_validation[[#This Row],[Corporate_Loan_Rate]])</f>
        <v>0</v>
      </c>
      <c r="N89">
        <f>COUNTBLANK(data_validation[[#This Row],[New_Loan_Volume]])</f>
        <v>0</v>
      </c>
      <c r="O89">
        <f>COUNTBLANK(data_validation[[#This Row],[Loan_Stock]])</f>
        <v>0</v>
      </c>
      <c r="P89">
        <f>COUNTBLANK(data_validation[[#This Row],[ECB_DFR]])</f>
        <v>0</v>
      </c>
      <c r="Q89">
        <f t="shared" si="1"/>
        <v>1</v>
      </c>
      <c r="R89">
        <f>COUNTIF(data_validation[[#This Row],[New_Loan_Volume]],"&lt;0")</f>
        <v>0</v>
      </c>
      <c r="S89">
        <f>COUNTIF(data_validation[[#This Row],[Loan_Stock]],"&lt;0")</f>
        <v>0</v>
      </c>
    </row>
    <row r="90" spans="1:19" x14ac:dyDescent="0.35">
      <c r="A90" s="1">
        <v>46173</v>
      </c>
      <c r="B90" t="s">
        <v>94</v>
      </c>
      <c r="C90">
        <f>YEAR(data_validation[[#This Row],[DATE]])</f>
        <v>2026</v>
      </c>
      <c r="D90" s="4">
        <v>3.4</v>
      </c>
      <c r="E90" s="4">
        <v>72760</v>
      </c>
      <c r="F90" s="4">
        <v>1378482</v>
      </c>
      <c r="G90" s="4">
        <f>_xlfn.XLOOKUP(data_validation[[#This Row],[DATE]],Table1[DATE],Table1[Deposit facility - date of changes (raw data) - Level (FM.D.U2.EUR.4F.KR.DFR.LEV)],,-1)</f>
        <v>2</v>
      </c>
      <c r="H90" s="4">
        <f>data_validation[[#This Row],[Corporate_Loan_Rate]]-data_validation[[#This Row],[ECB_DFR]]</f>
        <v>1.4</v>
      </c>
      <c r="I90" s="5">
        <f>IFERROR(data_validation[[#This Row],[New_Loan_Volume]]/_xlfn.XLOOKUP(EOMONTH(data_validation[[#This Row],[DATE]],-12),data_validation[DATE],data_validation[New_Loan_Volume])-1,"")</f>
        <v>3.8138313809979119E-2</v>
      </c>
      <c r="J90" s="5">
        <f>IFERROR(data_validation[[#This Row],[Loan_Stock]]/_xlfn.XLOOKUP(EOMONTH(data_validation[[#This Row],[DATE]],-12),data_validation[DATE],data_validation[Loan_Stock])-1,"")</f>
        <v>6.1501135719999045E-3</v>
      </c>
      <c r="K90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76261.333333333328</v>
      </c>
      <c r="L90">
        <f>COUNTIF(data_validation[DATE],data_validation[[#This Row],[DATE]])</f>
        <v>1</v>
      </c>
      <c r="M90">
        <f>COUNTBLANK(data_validation[[#This Row],[Corporate_Loan_Rate]])</f>
        <v>0</v>
      </c>
      <c r="N90">
        <f>COUNTBLANK(data_validation[[#This Row],[New_Loan_Volume]])</f>
        <v>0</v>
      </c>
      <c r="O90">
        <f>COUNTBLANK(data_validation[[#This Row],[Loan_Stock]])</f>
        <v>0</v>
      </c>
      <c r="P90">
        <f>COUNTBLANK(data_validation[[#This Row],[ECB_DFR]])</f>
        <v>0</v>
      </c>
      <c r="Q90">
        <f t="shared" si="1"/>
        <v>1</v>
      </c>
      <c r="R90">
        <f>COUNTIF(data_validation[[#This Row],[New_Loan_Volume]],"&lt;0")</f>
        <v>0</v>
      </c>
      <c r="S90">
        <f>COUNTIF(data_validation[[#This Row],[Loan_Stock]],"&lt;0")</f>
        <v>0</v>
      </c>
    </row>
    <row r="91" spans="1:19" x14ac:dyDescent="0.35">
      <c r="A91" s="1">
        <v>46203</v>
      </c>
      <c r="B91" t="s">
        <v>95</v>
      </c>
      <c r="C91">
        <f>YEAR(data_validation[[#This Row],[DATE]])</f>
        <v>2026</v>
      </c>
      <c r="D91" s="4">
        <v>3.72</v>
      </c>
      <c r="E91" s="4">
        <v>86130</v>
      </c>
      <c r="F91" s="4">
        <v>1380350</v>
      </c>
      <c r="G91" s="4">
        <f>_xlfn.XLOOKUP(data_validation[[#This Row],[DATE]],Table1[DATE],Table1[Deposit facility - date of changes (raw data) - Level (FM.D.U2.EUR.4F.KR.DFR.LEV)],,-1)</f>
        <v>2.25</v>
      </c>
      <c r="H91" s="4">
        <f>data_validation[[#This Row],[Corporate_Loan_Rate]]-data_validation[[#This Row],[ECB_DFR]]</f>
        <v>1.4700000000000002</v>
      </c>
      <c r="I91" s="5">
        <f>IFERROR(data_validation[[#This Row],[New_Loan_Volume]]/_xlfn.XLOOKUP(EOMONTH(data_validation[[#This Row],[DATE]],-12),data_validation[DATE],data_validation[New_Loan_Volume])-1,"")</f>
        <v>7.2522601050980073E-2</v>
      </c>
      <c r="J91" s="5">
        <f>IFERROR(data_validation[[#This Row],[Loan_Stock]]/_xlfn.XLOOKUP(EOMONTH(data_validation[[#This Row],[DATE]],-12),data_validation[DATE],data_validation[Loan_Stock])-1,"")</f>
        <v>8.4365744643857266E-3</v>
      </c>
      <c r="K91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76226.666666666672</v>
      </c>
      <c r="L91">
        <f>COUNTIF(data_validation[DATE],data_validation[[#This Row],[DATE]])</f>
        <v>1</v>
      </c>
      <c r="M91">
        <f>COUNTBLANK(data_validation[[#This Row],[Corporate_Loan_Rate]])</f>
        <v>0</v>
      </c>
      <c r="N91">
        <f>COUNTBLANK(data_validation[[#This Row],[New_Loan_Volume]])</f>
        <v>0</v>
      </c>
      <c r="O91">
        <f>COUNTBLANK(data_validation[[#This Row],[Loan_Stock]])</f>
        <v>0</v>
      </c>
      <c r="P91">
        <f>COUNTBLANK(data_validation[[#This Row],[ECB_DFR]])</f>
        <v>0</v>
      </c>
      <c r="Q91">
        <f t="shared" si="1"/>
        <v>1</v>
      </c>
      <c r="R91">
        <f>COUNTIF(data_validation[[#This Row],[New_Loan_Volume]],"&lt;0")</f>
        <v>0</v>
      </c>
      <c r="S91">
        <f>COUNTIF(data_validation[[#This Row],[Loan_Stock]],"&lt;0")</f>
        <v>0</v>
      </c>
    </row>
    <row r="92" spans="1:19" x14ac:dyDescent="0.35">
      <c r="A92" s="1">
        <v>46234</v>
      </c>
      <c r="B92" t="s">
        <v>96</v>
      </c>
      <c r="C92">
        <f>YEAR(data_validation[[#This Row],[DATE]])</f>
        <v>2026</v>
      </c>
      <c r="D92" s="4">
        <v>3.69</v>
      </c>
      <c r="E92" s="4">
        <v>74496</v>
      </c>
      <c r="F92" s="4">
        <v>1380906</v>
      </c>
      <c r="G92" s="4">
        <f>_xlfn.XLOOKUP(data_validation[[#This Row],[DATE]],Table1[DATE],Table1[Deposit facility - date of changes (raw data) - Level (FM.D.U2.EUR.4F.KR.DFR.LEV)],,-1)</f>
        <v>2.25</v>
      </c>
      <c r="H92" s="4">
        <f>data_validation[[#This Row],[Corporate_Loan_Rate]]-data_validation[[#This Row],[ECB_DFR]]</f>
        <v>1.44</v>
      </c>
      <c r="I92" s="5">
        <f>IFERROR(data_validation[[#This Row],[New_Loan_Volume]]/_xlfn.XLOOKUP(EOMONTH(data_validation[[#This Row],[DATE]],-12),data_validation[DATE],data_validation[New_Loan_Volume])-1,"")</f>
        <v>-2.2323713532028777E-2</v>
      </c>
      <c r="J92" s="5">
        <f>IFERROR(data_validation[[#This Row],[Loan_Stock]]/_xlfn.XLOOKUP(EOMONTH(data_validation[[#This Row],[DATE]],-12),data_validation[DATE],data_validation[Loan_Stock])-1,"")</f>
        <v>8.2071163386667756E-3</v>
      </c>
      <c r="K92" s="4">
        <f>IF(COUNTIFS(data_validation[DATE],"&gt;"&amp;EOMONTH(data_validation[[#This Row],[DATE]],-3),data_validation[DATE],"&lt;="&amp;data_validation[[#This Row],[DATE]])&gt;=3,AVERAGEIFS(data_validation[New_Loan_Volume],data_validation[DATE],"&gt;"&amp;EOMONTH(data_validation[[#This Row],[DATE]],-3),data_validation[DATE],"&lt;="&amp;data_validation[[#This Row],[DATE]]),"")</f>
        <v>77795.333333333328</v>
      </c>
      <c r="L92">
        <f>COUNTIF(data_validation[DATE],data_validation[[#This Row],[DATE]])</f>
        <v>1</v>
      </c>
      <c r="M92">
        <f>COUNTBLANK(data_validation[[#This Row],[Corporate_Loan_Rate]])</f>
        <v>0</v>
      </c>
      <c r="N92">
        <f>COUNTBLANK(data_validation[[#This Row],[New_Loan_Volume]])</f>
        <v>0</v>
      </c>
      <c r="O92">
        <f>COUNTBLANK(data_validation[[#This Row],[Loan_Stock]])</f>
        <v>0</v>
      </c>
      <c r="P92">
        <f>COUNTBLANK(data_validation[[#This Row],[ECB_DFR]])</f>
        <v>0</v>
      </c>
      <c r="Q92">
        <f>--(A93=EOMONTH(A92,1))</f>
        <v>0</v>
      </c>
      <c r="R92">
        <f>COUNTIF(data_validation[[#This Row],[New_Loan_Volume]],"&lt;0")</f>
        <v>0</v>
      </c>
      <c r="S92">
        <f>COUNTIF(data_validation[[#This Row],[Loan_Stock]],"&lt;0")</f>
        <v>0</v>
      </c>
    </row>
  </sheetData>
  <conditionalFormatting sqref="L2:T92">
    <cfRule type="cellIs" dxfId="4" priority="1" operator="greaterThan">
      <formula>1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A1C0A-6ED6-4E0C-ACE4-E8EC015A36DB}">
  <sheetPr codeName="Sheet4"/>
  <dimension ref="A3:C103"/>
  <sheetViews>
    <sheetView zoomScale="70" zoomScaleNormal="70" workbookViewId="0">
      <selection activeCell="W16" sqref="W16"/>
    </sheetView>
  </sheetViews>
  <sheetFormatPr defaultRowHeight="14.5" x14ac:dyDescent="0.35"/>
  <cols>
    <col min="1" max="1" width="10.36328125" bestFit="1" customWidth="1"/>
    <col min="2" max="2" width="17.90625" bestFit="1" customWidth="1"/>
    <col min="3" max="3" width="8" bestFit="1" customWidth="1"/>
  </cols>
  <sheetData>
    <row r="3" spans="1:3" x14ac:dyDescent="0.35">
      <c r="A3" s="9" t="s">
        <v>152</v>
      </c>
      <c r="B3" t="s">
        <v>153</v>
      </c>
      <c r="C3" t="s">
        <v>154</v>
      </c>
    </row>
    <row r="4" spans="1:3" x14ac:dyDescent="0.35">
      <c r="A4" s="10" t="s">
        <v>123</v>
      </c>
      <c r="B4" s="4">
        <v>1.1691666666666667</v>
      </c>
      <c r="C4" s="4">
        <v>-0.43333333333333329</v>
      </c>
    </row>
    <row r="5" spans="1:3" x14ac:dyDescent="0.35">
      <c r="A5" s="12" t="s">
        <v>133</v>
      </c>
      <c r="B5" s="4">
        <v>1.17</v>
      </c>
      <c r="C5" s="4">
        <v>-0.4</v>
      </c>
    </row>
    <row r="6" spans="1:3" x14ac:dyDescent="0.35">
      <c r="A6" s="12" t="s">
        <v>134</v>
      </c>
      <c r="B6" s="4">
        <v>1.18</v>
      </c>
      <c r="C6" s="4">
        <v>-0.4</v>
      </c>
    </row>
    <row r="7" spans="1:3" x14ac:dyDescent="0.35">
      <c r="A7" s="12" t="s">
        <v>135</v>
      </c>
      <c r="B7" s="4">
        <v>1.24</v>
      </c>
      <c r="C7" s="4">
        <v>-0.4</v>
      </c>
    </row>
    <row r="8" spans="1:3" x14ac:dyDescent="0.35">
      <c r="A8" s="12" t="s">
        <v>136</v>
      </c>
      <c r="B8" s="4">
        <v>1.1499999999999999</v>
      </c>
      <c r="C8" s="4">
        <v>-0.4</v>
      </c>
    </row>
    <row r="9" spans="1:3" x14ac:dyDescent="0.35">
      <c r="A9" s="12" t="s">
        <v>137</v>
      </c>
      <c r="B9" s="4">
        <v>1.1299999999999999</v>
      </c>
      <c r="C9" s="4">
        <v>-0.4</v>
      </c>
    </row>
    <row r="10" spans="1:3" x14ac:dyDescent="0.35">
      <c r="A10" s="12" t="s">
        <v>138</v>
      </c>
      <c r="B10" s="4">
        <v>1.1399999999999999</v>
      </c>
      <c r="C10" s="4">
        <v>-0.4</v>
      </c>
    </row>
    <row r="11" spans="1:3" x14ac:dyDescent="0.35">
      <c r="A11" s="12" t="s">
        <v>139</v>
      </c>
      <c r="B11" s="4">
        <v>1.1399999999999999</v>
      </c>
      <c r="C11" s="4">
        <v>-0.4</v>
      </c>
    </row>
    <row r="12" spans="1:3" x14ac:dyDescent="0.35">
      <c r="A12" s="12" t="s">
        <v>140</v>
      </c>
      <c r="B12" s="4">
        <v>1.06</v>
      </c>
      <c r="C12" s="4">
        <v>-0.4</v>
      </c>
    </row>
    <row r="13" spans="1:3" x14ac:dyDescent="0.35">
      <c r="A13" s="12" t="s">
        <v>141</v>
      </c>
      <c r="B13" s="4">
        <v>1.1399999999999999</v>
      </c>
      <c r="C13" s="4">
        <v>-0.5</v>
      </c>
    </row>
    <row r="14" spans="1:3" x14ac:dyDescent="0.35">
      <c r="A14" s="12" t="s">
        <v>142</v>
      </c>
      <c r="B14" s="4">
        <v>1.18</v>
      </c>
      <c r="C14" s="4">
        <v>-0.5</v>
      </c>
    </row>
    <row r="15" spans="1:3" x14ac:dyDescent="0.35">
      <c r="A15" s="12" t="s">
        <v>143</v>
      </c>
      <c r="B15" s="4">
        <v>1.25</v>
      </c>
      <c r="C15" s="4">
        <v>-0.5</v>
      </c>
    </row>
    <row r="16" spans="1:3" x14ac:dyDescent="0.35">
      <c r="A16" s="12" t="s">
        <v>144</v>
      </c>
      <c r="B16" s="4">
        <v>1.25</v>
      </c>
      <c r="C16" s="4">
        <v>-0.5</v>
      </c>
    </row>
    <row r="17" spans="1:3" x14ac:dyDescent="0.35">
      <c r="A17" s="10" t="s">
        <v>124</v>
      </c>
      <c r="B17" s="4">
        <v>1.3116666666666668</v>
      </c>
      <c r="C17" s="4">
        <v>-0.5</v>
      </c>
    </row>
    <row r="18" spans="1:3" x14ac:dyDescent="0.35">
      <c r="A18" s="12" t="s">
        <v>133</v>
      </c>
      <c r="B18" s="4">
        <v>1.19</v>
      </c>
      <c r="C18" s="4">
        <v>-0.5</v>
      </c>
    </row>
    <row r="19" spans="1:3" x14ac:dyDescent="0.35">
      <c r="A19" s="12" t="s">
        <v>134</v>
      </c>
      <c r="B19" s="4">
        <v>1.1299999999999999</v>
      </c>
      <c r="C19" s="4">
        <v>-0.5</v>
      </c>
    </row>
    <row r="20" spans="1:3" x14ac:dyDescent="0.35">
      <c r="A20" s="12" t="s">
        <v>135</v>
      </c>
      <c r="B20" s="4">
        <v>1.1200000000000001</v>
      </c>
      <c r="C20" s="4">
        <v>-0.5</v>
      </c>
    </row>
    <row r="21" spans="1:3" x14ac:dyDescent="0.35">
      <c r="A21" s="12" t="s">
        <v>136</v>
      </c>
      <c r="B21" s="4">
        <v>1.27</v>
      </c>
      <c r="C21" s="4">
        <v>-0.5</v>
      </c>
    </row>
    <row r="22" spans="1:3" x14ac:dyDescent="0.35">
      <c r="A22" s="12" t="s">
        <v>137</v>
      </c>
      <c r="B22" s="4">
        <v>1.33</v>
      </c>
      <c r="C22" s="4">
        <v>-0.5</v>
      </c>
    </row>
    <row r="23" spans="1:3" x14ac:dyDescent="0.35">
      <c r="A23" s="12" t="s">
        <v>138</v>
      </c>
      <c r="B23" s="4">
        <v>1.32</v>
      </c>
      <c r="C23" s="4">
        <v>-0.5</v>
      </c>
    </row>
    <row r="24" spans="1:3" x14ac:dyDescent="0.35">
      <c r="A24" s="12" t="s">
        <v>139</v>
      </c>
      <c r="B24" s="4">
        <v>1.43</v>
      </c>
      <c r="C24" s="4">
        <v>-0.5</v>
      </c>
    </row>
    <row r="25" spans="1:3" x14ac:dyDescent="0.35">
      <c r="A25" s="12" t="s">
        <v>140</v>
      </c>
      <c r="B25" s="4">
        <v>1.58</v>
      </c>
      <c r="C25" s="4">
        <v>-0.5</v>
      </c>
    </row>
    <row r="26" spans="1:3" x14ac:dyDescent="0.35">
      <c r="A26" s="12" t="s">
        <v>141</v>
      </c>
      <c r="B26" s="4">
        <v>1.31</v>
      </c>
      <c r="C26" s="4">
        <v>-0.5</v>
      </c>
    </row>
    <row r="27" spans="1:3" x14ac:dyDescent="0.35">
      <c r="A27" s="12" t="s">
        <v>142</v>
      </c>
      <c r="B27" s="4">
        <v>1.37</v>
      </c>
      <c r="C27" s="4">
        <v>-0.5</v>
      </c>
    </row>
    <row r="28" spans="1:3" x14ac:dyDescent="0.35">
      <c r="A28" s="12" t="s">
        <v>143</v>
      </c>
      <c r="B28" s="4">
        <v>1.38</v>
      </c>
      <c r="C28" s="4">
        <v>-0.5</v>
      </c>
    </row>
    <row r="29" spans="1:3" x14ac:dyDescent="0.35">
      <c r="A29" s="12" t="s">
        <v>144</v>
      </c>
      <c r="B29" s="4">
        <v>1.31</v>
      </c>
      <c r="C29" s="4">
        <v>-0.5</v>
      </c>
    </row>
    <row r="30" spans="1:3" x14ac:dyDescent="0.35">
      <c r="A30" s="10" t="s">
        <v>125</v>
      </c>
      <c r="B30" s="4">
        <v>1.2433333333333334</v>
      </c>
      <c r="C30" s="4">
        <v>-0.5</v>
      </c>
    </row>
    <row r="31" spans="1:3" x14ac:dyDescent="0.35">
      <c r="A31" s="12" t="s">
        <v>133</v>
      </c>
      <c r="B31" s="4">
        <v>1.29</v>
      </c>
      <c r="C31" s="4">
        <v>-0.5</v>
      </c>
    </row>
    <row r="32" spans="1:3" x14ac:dyDescent="0.35">
      <c r="A32" s="12" t="s">
        <v>134</v>
      </c>
      <c r="B32" s="4">
        <v>1.3</v>
      </c>
      <c r="C32" s="4">
        <v>-0.5</v>
      </c>
    </row>
    <row r="33" spans="1:3" x14ac:dyDescent="0.35">
      <c r="A33" s="12" t="s">
        <v>135</v>
      </c>
      <c r="B33" s="4">
        <v>0.94</v>
      </c>
      <c r="C33" s="4">
        <v>-0.5</v>
      </c>
    </row>
    <row r="34" spans="1:3" x14ac:dyDescent="0.35">
      <c r="A34" s="12" t="s">
        <v>136</v>
      </c>
      <c r="B34" s="4">
        <v>1.5</v>
      </c>
      <c r="C34" s="4">
        <v>-0.5</v>
      </c>
    </row>
    <row r="35" spans="1:3" x14ac:dyDescent="0.35">
      <c r="A35" s="12" t="s">
        <v>137</v>
      </c>
      <c r="B35" s="4">
        <v>1.25</v>
      </c>
      <c r="C35" s="4">
        <v>-0.5</v>
      </c>
    </row>
    <row r="36" spans="1:3" x14ac:dyDescent="0.35">
      <c r="A36" s="12" t="s">
        <v>138</v>
      </c>
      <c r="B36" s="4">
        <v>1.27</v>
      </c>
      <c r="C36" s="4">
        <v>-0.5</v>
      </c>
    </row>
    <row r="37" spans="1:3" x14ac:dyDescent="0.35">
      <c r="A37" s="12" t="s">
        <v>139</v>
      </c>
      <c r="B37" s="4">
        <v>1.32</v>
      </c>
      <c r="C37" s="4">
        <v>-0.5</v>
      </c>
    </row>
    <row r="38" spans="1:3" x14ac:dyDescent="0.35">
      <c r="A38" s="12" t="s">
        <v>140</v>
      </c>
      <c r="B38" s="4">
        <v>1.23</v>
      </c>
      <c r="C38" s="4">
        <v>-0.5</v>
      </c>
    </row>
    <row r="39" spans="1:3" x14ac:dyDescent="0.35">
      <c r="A39" s="12" t="s">
        <v>141</v>
      </c>
      <c r="B39" s="4">
        <v>1.38</v>
      </c>
      <c r="C39" s="4">
        <v>-0.5</v>
      </c>
    </row>
    <row r="40" spans="1:3" x14ac:dyDescent="0.35">
      <c r="A40" s="12" t="s">
        <v>142</v>
      </c>
      <c r="B40" s="4">
        <v>1.1599999999999999</v>
      </c>
      <c r="C40" s="4">
        <v>-0.5</v>
      </c>
    </row>
    <row r="41" spans="1:3" x14ac:dyDescent="0.35">
      <c r="A41" s="12" t="s">
        <v>143</v>
      </c>
      <c r="B41" s="4">
        <v>1.1299999999999999</v>
      </c>
      <c r="C41" s="4">
        <v>-0.5</v>
      </c>
    </row>
    <row r="42" spans="1:3" x14ac:dyDescent="0.35">
      <c r="A42" s="12" t="s">
        <v>144</v>
      </c>
      <c r="B42" s="4">
        <v>1.1499999999999999</v>
      </c>
      <c r="C42" s="4">
        <v>-0.5</v>
      </c>
    </row>
    <row r="43" spans="1:3" x14ac:dyDescent="0.35">
      <c r="A43" s="10" t="s">
        <v>126</v>
      </c>
      <c r="B43" s="4">
        <v>2.165</v>
      </c>
      <c r="C43" s="4">
        <v>0.16666666666666666</v>
      </c>
    </row>
    <row r="44" spans="1:3" x14ac:dyDescent="0.35">
      <c r="A44" s="12" t="s">
        <v>133</v>
      </c>
      <c r="B44" s="4">
        <v>1.3</v>
      </c>
      <c r="C44" s="4">
        <v>-0.5</v>
      </c>
    </row>
    <row r="45" spans="1:3" x14ac:dyDescent="0.35">
      <c r="A45" s="12" t="s">
        <v>134</v>
      </c>
      <c r="B45" s="4">
        <v>1.36</v>
      </c>
      <c r="C45" s="4">
        <v>-0.5</v>
      </c>
    </row>
    <row r="46" spans="1:3" x14ac:dyDescent="0.35">
      <c r="A46" s="12" t="s">
        <v>135</v>
      </c>
      <c r="B46" s="4">
        <v>1.55</v>
      </c>
      <c r="C46" s="4">
        <v>-0.5</v>
      </c>
    </row>
    <row r="47" spans="1:3" x14ac:dyDescent="0.35">
      <c r="A47" s="12" t="s">
        <v>136</v>
      </c>
      <c r="B47" s="4">
        <v>1.53</v>
      </c>
      <c r="C47" s="4">
        <v>-0.5</v>
      </c>
    </row>
    <row r="48" spans="1:3" x14ac:dyDescent="0.35">
      <c r="A48" s="12" t="s">
        <v>137</v>
      </c>
      <c r="B48" s="4">
        <v>1.41</v>
      </c>
      <c r="C48" s="4">
        <v>-0.5</v>
      </c>
    </row>
    <row r="49" spans="1:3" x14ac:dyDescent="0.35">
      <c r="A49" s="12" t="s">
        <v>138</v>
      </c>
      <c r="B49" s="4">
        <v>2.37</v>
      </c>
      <c r="C49" s="4">
        <v>-0.5</v>
      </c>
    </row>
    <row r="50" spans="1:3" x14ac:dyDescent="0.35">
      <c r="A50" s="12" t="s">
        <v>139</v>
      </c>
      <c r="B50" s="4">
        <v>1.94</v>
      </c>
      <c r="C50" s="4">
        <v>0</v>
      </c>
    </row>
    <row r="51" spans="1:3" x14ac:dyDescent="0.35">
      <c r="A51" s="12" t="s">
        <v>140</v>
      </c>
      <c r="B51" s="4">
        <v>2.1</v>
      </c>
      <c r="C51" s="4">
        <v>0</v>
      </c>
    </row>
    <row r="52" spans="1:3" x14ac:dyDescent="0.35">
      <c r="A52" s="12" t="s">
        <v>141</v>
      </c>
      <c r="B52" s="4">
        <v>2.85</v>
      </c>
      <c r="C52" s="4">
        <v>0.75</v>
      </c>
    </row>
    <row r="53" spans="1:3" x14ac:dyDescent="0.35">
      <c r="A53" s="12" t="s">
        <v>142</v>
      </c>
      <c r="B53" s="4">
        <v>2.97</v>
      </c>
      <c r="C53" s="4">
        <v>0.75</v>
      </c>
    </row>
    <row r="54" spans="1:3" x14ac:dyDescent="0.35">
      <c r="A54" s="12" t="s">
        <v>143</v>
      </c>
      <c r="B54" s="4">
        <v>3.14</v>
      </c>
      <c r="C54" s="4">
        <v>1.5</v>
      </c>
    </row>
    <row r="55" spans="1:3" x14ac:dyDescent="0.35">
      <c r="A55" s="12" t="s">
        <v>144</v>
      </c>
      <c r="B55" s="4">
        <v>3.46</v>
      </c>
      <c r="C55" s="4">
        <v>2</v>
      </c>
    </row>
    <row r="56" spans="1:3" x14ac:dyDescent="0.35">
      <c r="A56" s="10" t="s">
        <v>127</v>
      </c>
      <c r="B56" s="4">
        <v>4.7408333333333346</v>
      </c>
      <c r="C56" s="4">
        <v>3.375</v>
      </c>
    </row>
    <row r="57" spans="1:3" x14ac:dyDescent="0.35">
      <c r="A57" s="12" t="s">
        <v>133</v>
      </c>
      <c r="B57" s="4">
        <v>3.56</v>
      </c>
      <c r="C57" s="4">
        <v>2</v>
      </c>
    </row>
    <row r="58" spans="1:3" x14ac:dyDescent="0.35">
      <c r="A58" s="12" t="s">
        <v>134</v>
      </c>
      <c r="B58" s="4">
        <v>3.89</v>
      </c>
      <c r="C58" s="4">
        <v>2.5</v>
      </c>
    </row>
    <row r="59" spans="1:3" x14ac:dyDescent="0.35">
      <c r="A59" s="12" t="s">
        <v>135</v>
      </c>
      <c r="B59" s="4">
        <v>4.43</v>
      </c>
      <c r="C59" s="4">
        <v>3</v>
      </c>
    </row>
    <row r="60" spans="1:3" x14ac:dyDescent="0.35">
      <c r="A60" s="12" t="s">
        <v>136</v>
      </c>
      <c r="B60" s="4">
        <v>4.4400000000000004</v>
      </c>
      <c r="C60" s="4">
        <v>3</v>
      </c>
    </row>
    <row r="61" spans="1:3" x14ac:dyDescent="0.35">
      <c r="A61" s="12" t="s">
        <v>137</v>
      </c>
      <c r="B61" s="4">
        <v>4.66</v>
      </c>
      <c r="C61" s="4">
        <v>3.25</v>
      </c>
    </row>
    <row r="62" spans="1:3" x14ac:dyDescent="0.35">
      <c r="A62" s="12" t="s">
        <v>138</v>
      </c>
      <c r="B62" s="4">
        <v>4.87</v>
      </c>
      <c r="C62" s="4">
        <v>3.5</v>
      </c>
    </row>
    <row r="63" spans="1:3" x14ac:dyDescent="0.35">
      <c r="A63" s="12" t="s">
        <v>139</v>
      </c>
      <c r="B63" s="4">
        <v>5.15</v>
      </c>
      <c r="C63" s="4">
        <v>3.5</v>
      </c>
    </row>
    <row r="64" spans="1:3" x14ac:dyDescent="0.35">
      <c r="A64" s="12" t="s">
        <v>140</v>
      </c>
      <c r="B64" s="4">
        <v>5.09</v>
      </c>
      <c r="C64" s="4">
        <v>3.75</v>
      </c>
    </row>
    <row r="65" spans="1:3" x14ac:dyDescent="0.35">
      <c r="A65" s="12" t="s">
        <v>141</v>
      </c>
      <c r="B65" s="4">
        <v>5.09</v>
      </c>
      <c r="C65" s="4">
        <v>4</v>
      </c>
    </row>
    <row r="66" spans="1:3" x14ac:dyDescent="0.35">
      <c r="A66" s="12" t="s">
        <v>142</v>
      </c>
      <c r="B66" s="4">
        <v>5.45</v>
      </c>
      <c r="C66" s="4">
        <v>4</v>
      </c>
    </row>
    <row r="67" spans="1:3" x14ac:dyDescent="0.35">
      <c r="A67" s="12" t="s">
        <v>143</v>
      </c>
      <c r="B67" s="4">
        <v>5.13</v>
      </c>
      <c r="C67" s="4">
        <v>4</v>
      </c>
    </row>
    <row r="68" spans="1:3" x14ac:dyDescent="0.35">
      <c r="A68" s="12" t="s">
        <v>144</v>
      </c>
      <c r="B68" s="4">
        <v>5.13</v>
      </c>
      <c r="C68" s="4">
        <v>4</v>
      </c>
    </row>
    <row r="69" spans="1:3" x14ac:dyDescent="0.35">
      <c r="A69" s="10" t="s">
        <v>128</v>
      </c>
      <c r="B69" s="4">
        <v>4.8466666666666667</v>
      </c>
      <c r="C69" s="4">
        <v>3.6875</v>
      </c>
    </row>
    <row r="70" spans="1:3" x14ac:dyDescent="0.35">
      <c r="A70" s="12" t="s">
        <v>133</v>
      </c>
      <c r="B70" s="4">
        <v>5.07</v>
      </c>
      <c r="C70" s="4">
        <v>4</v>
      </c>
    </row>
    <row r="71" spans="1:3" x14ac:dyDescent="0.35">
      <c r="A71" s="12" t="s">
        <v>134</v>
      </c>
      <c r="B71" s="4">
        <v>4.95</v>
      </c>
      <c r="C71" s="4">
        <v>4</v>
      </c>
    </row>
    <row r="72" spans="1:3" x14ac:dyDescent="0.35">
      <c r="A72" s="12" t="s">
        <v>135</v>
      </c>
      <c r="B72" s="4">
        <v>5.1100000000000003</v>
      </c>
      <c r="C72" s="4">
        <v>4</v>
      </c>
    </row>
    <row r="73" spans="1:3" x14ac:dyDescent="0.35">
      <c r="A73" s="12" t="s">
        <v>136</v>
      </c>
      <c r="B73" s="4">
        <v>5.13</v>
      </c>
      <c r="C73" s="4">
        <v>4</v>
      </c>
    </row>
    <row r="74" spans="1:3" x14ac:dyDescent="0.35">
      <c r="A74" s="12" t="s">
        <v>137</v>
      </c>
      <c r="B74" s="4">
        <v>5.04</v>
      </c>
      <c r="C74" s="4">
        <v>4</v>
      </c>
    </row>
    <row r="75" spans="1:3" x14ac:dyDescent="0.35">
      <c r="A75" s="12" t="s">
        <v>138</v>
      </c>
      <c r="B75" s="4">
        <v>5.03</v>
      </c>
      <c r="C75" s="4">
        <v>3.75</v>
      </c>
    </row>
    <row r="76" spans="1:3" x14ac:dyDescent="0.35">
      <c r="A76" s="12" t="s">
        <v>139</v>
      </c>
      <c r="B76" s="4">
        <v>4.93</v>
      </c>
      <c r="C76" s="4">
        <v>3.75</v>
      </c>
    </row>
    <row r="77" spans="1:3" x14ac:dyDescent="0.35">
      <c r="A77" s="12" t="s">
        <v>140</v>
      </c>
      <c r="B77" s="4">
        <v>5.03</v>
      </c>
      <c r="C77" s="4">
        <v>3.75</v>
      </c>
    </row>
    <row r="78" spans="1:3" x14ac:dyDescent="0.35">
      <c r="A78" s="12" t="s">
        <v>141</v>
      </c>
      <c r="B78" s="4">
        <v>4.6100000000000003</v>
      </c>
      <c r="C78" s="4">
        <v>3.5</v>
      </c>
    </row>
    <row r="79" spans="1:3" x14ac:dyDescent="0.35">
      <c r="A79" s="12" t="s">
        <v>142</v>
      </c>
      <c r="B79" s="4">
        <v>4.63</v>
      </c>
      <c r="C79" s="4">
        <v>3.25</v>
      </c>
    </row>
    <row r="80" spans="1:3" x14ac:dyDescent="0.35">
      <c r="A80" s="12" t="s">
        <v>143</v>
      </c>
      <c r="B80" s="4">
        <v>4.3899999999999997</v>
      </c>
      <c r="C80" s="4">
        <v>3.25</v>
      </c>
    </row>
    <row r="81" spans="1:3" x14ac:dyDescent="0.35">
      <c r="A81" s="12" t="s">
        <v>144</v>
      </c>
      <c r="B81" s="4">
        <v>4.24</v>
      </c>
      <c r="C81" s="4">
        <v>3</v>
      </c>
    </row>
    <row r="82" spans="1:3" x14ac:dyDescent="0.35">
      <c r="A82" s="10" t="s">
        <v>129</v>
      </c>
      <c r="B82" s="4">
        <v>3.4966666666666666</v>
      </c>
      <c r="C82" s="4">
        <v>2.2291666666666665</v>
      </c>
    </row>
    <row r="83" spans="1:3" x14ac:dyDescent="0.35">
      <c r="A83" s="12" t="s">
        <v>133</v>
      </c>
      <c r="B83" s="4">
        <v>4.24</v>
      </c>
      <c r="C83" s="4">
        <v>3</v>
      </c>
    </row>
    <row r="84" spans="1:3" x14ac:dyDescent="0.35">
      <c r="A84" s="12" t="s">
        <v>134</v>
      </c>
      <c r="B84" s="4">
        <v>4.09</v>
      </c>
      <c r="C84" s="4">
        <v>2.75</v>
      </c>
    </row>
    <row r="85" spans="1:3" x14ac:dyDescent="0.35">
      <c r="A85" s="12" t="s">
        <v>135</v>
      </c>
      <c r="B85" s="4">
        <v>3.66</v>
      </c>
      <c r="C85" s="4">
        <v>2.5</v>
      </c>
    </row>
    <row r="86" spans="1:3" x14ac:dyDescent="0.35">
      <c r="A86" s="12" t="s">
        <v>136</v>
      </c>
      <c r="B86" s="4">
        <v>3.57</v>
      </c>
      <c r="C86" s="4">
        <v>2.25</v>
      </c>
    </row>
    <row r="87" spans="1:3" x14ac:dyDescent="0.35">
      <c r="A87" s="12" t="s">
        <v>137</v>
      </c>
      <c r="B87" s="4">
        <v>3.39</v>
      </c>
      <c r="C87" s="4">
        <v>2.25</v>
      </c>
    </row>
    <row r="88" spans="1:3" x14ac:dyDescent="0.35">
      <c r="A88" s="12" t="s">
        <v>138</v>
      </c>
      <c r="B88" s="4">
        <v>3.42</v>
      </c>
      <c r="C88" s="4">
        <v>2</v>
      </c>
    </row>
    <row r="89" spans="1:3" x14ac:dyDescent="0.35">
      <c r="A89" s="12" t="s">
        <v>139</v>
      </c>
      <c r="B89" s="4">
        <v>3.27</v>
      </c>
      <c r="C89" s="4">
        <v>2</v>
      </c>
    </row>
    <row r="90" spans="1:3" x14ac:dyDescent="0.35">
      <c r="A90" s="12" t="s">
        <v>140</v>
      </c>
      <c r="B90" s="4">
        <v>3.13</v>
      </c>
      <c r="C90" s="4">
        <v>2</v>
      </c>
    </row>
    <row r="91" spans="1:3" x14ac:dyDescent="0.35">
      <c r="A91" s="12" t="s">
        <v>141</v>
      </c>
      <c r="B91" s="4">
        <v>3.23</v>
      </c>
      <c r="C91" s="4">
        <v>2</v>
      </c>
    </row>
    <row r="92" spans="1:3" x14ac:dyDescent="0.35">
      <c r="A92" s="12" t="s">
        <v>142</v>
      </c>
      <c r="B92" s="4">
        <v>3.25</v>
      </c>
      <c r="C92" s="4">
        <v>2</v>
      </c>
    </row>
    <row r="93" spans="1:3" x14ac:dyDescent="0.35">
      <c r="A93" s="12" t="s">
        <v>143</v>
      </c>
      <c r="B93" s="4">
        <v>3.26</v>
      </c>
      <c r="C93" s="4">
        <v>2</v>
      </c>
    </row>
    <row r="94" spans="1:3" x14ac:dyDescent="0.35">
      <c r="A94" s="12" t="s">
        <v>144</v>
      </c>
      <c r="B94" s="4">
        <v>3.45</v>
      </c>
      <c r="C94" s="4">
        <v>2</v>
      </c>
    </row>
    <row r="95" spans="1:3" hidden="1" x14ac:dyDescent="0.35">
      <c r="A95" s="10" t="s">
        <v>130</v>
      </c>
      <c r="B95" s="4">
        <v>3.4942857142857142</v>
      </c>
      <c r="C95" s="4">
        <v>2.0714285714285716</v>
      </c>
    </row>
    <row r="96" spans="1:3" x14ac:dyDescent="0.35">
      <c r="A96" s="12" t="s">
        <v>133</v>
      </c>
      <c r="B96" s="4">
        <v>3.39</v>
      </c>
      <c r="C96" s="4">
        <v>2</v>
      </c>
    </row>
    <row r="97" spans="1:3" x14ac:dyDescent="0.35">
      <c r="A97" s="12" t="s">
        <v>134</v>
      </c>
      <c r="B97" s="4">
        <v>3.28</v>
      </c>
      <c r="C97" s="4">
        <v>2</v>
      </c>
    </row>
    <row r="98" spans="1:3" x14ac:dyDescent="0.35">
      <c r="A98" s="12" t="s">
        <v>135</v>
      </c>
      <c r="B98" s="4">
        <v>3.5</v>
      </c>
      <c r="C98" s="4">
        <v>2</v>
      </c>
    </row>
    <row r="99" spans="1:3" x14ac:dyDescent="0.35">
      <c r="A99" s="12" t="s">
        <v>136</v>
      </c>
      <c r="B99" s="4">
        <v>3.48</v>
      </c>
      <c r="C99" s="4">
        <v>2</v>
      </c>
    </row>
    <row r="100" spans="1:3" x14ac:dyDescent="0.35">
      <c r="A100" s="12" t="s">
        <v>137</v>
      </c>
      <c r="B100" s="4">
        <v>3.4</v>
      </c>
      <c r="C100" s="4">
        <v>2</v>
      </c>
    </row>
    <row r="101" spans="1:3" x14ac:dyDescent="0.35">
      <c r="A101" s="12" t="s">
        <v>138</v>
      </c>
      <c r="B101" s="4">
        <v>3.72</v>
      </c>
      <c r="C101" s="4">
        <v>2.25</v>
      </c>
    </row>
    <row r="102" spans="1:3" x14ac:dyDescent="0.35">
      <c r="A102" s="12" t="s">
        <v>139</v>
      </c>
      <c r="B102" s="4">
        <v>3.69</v>
      </c>
      <c r="C102" s="4">
        <v>2.25</v>
      </c>
    </row>
    <row r="103" spans="1:3" hidden="1" x14ac:dyDescent="0.35">
      <c r="A103" s="10" t="s">
        <v>117</v>
      </c>
      <c r="B103" s="4">
        <v>2.77076923076923</v>
      </c>
      <c r="C103" s="4">
        <v>1.2175824175824175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8523F-B58D-4439-A1ED-4F8AB9329C77}">
  <sheetPr codeName="Sheet5"/>
  <dimension ref="A3:C103"/>
  <sheetViews>
    <sheetView zoomScale="70" zoomScaleNormal="70" workbookViewId="0">
      <selection activeCell="V11" sqref="V11"/>
    </sheetView>
  </sheetViews>
  <sheetFormatPr defaultRowHeight="14.5" x14ac:dyDescent="0.35"/>
  <cols>
    <col min="1" max="1" width="13.36328125" bestFit="1" customWidth="1"/>
    <col min="2" max="2" width="15.6328125" bestFit="1" customWidth="1"/>
    <col min="3" max="3" width="16.54296875" bestFit="1" customWidth="1"/>
  </cols>
  <sheetData>
    <row r="3" spans="1:3" x14ac:dyDescent="0.35">
      <c r="A3" s="9" t="s">
        <v>152</v>
      </c>
      <c r="B3" t="s">
        <v>109</v>
      </c>
      <c r="C3" t="s">
        <v>151</v>
      </c>
    </row>
    <row r="4" spans="1:3" x14ac:dyDescent="0.35">
      <c r="A4" s="10" t="s">
        <v>123</v>
      </c>
      <c r="B4" s="4">
        <v>691178</v>
      </c>
      <c r="C4" s="4">
        <v>57090.400000000001</v>
      </c>
    </row>
    <row r="5" spans="1:3" x14ac:dyDescent="0.35">
      <c r="A5" s="12" t="s">
        <v>133</v>
      </c>
      <c r="B5" s="4">
        <v>53666</v>
      </c>
      <c r="C5" s="4"/>
    </row>
    <row r="6" spans="1:3" x14ac:dyDescent="0.35">
      <c r="A6" s="12" t="s">
        <v>134</v>
      </c>
      <c r="B6" s="4">
        <v>49224</v>
      </c>
      <c r="C6" s="4"/>
    </row>
    <row r="7" spans="1:3" x14ac:dyDescent="0.35">
      <c r="A7" s="12" t="s">
        <v>135</v>
      </c>
      <c r="B7" s="4">
        <v>55394</v>
      </c>
      <c r="C7" s="4">
        <v>52761.333333333336</v>
      </c>
    </row>
    <row r="8" spans="1:3" x14ac:dyDescent="0.35">
      <c r="A8" s="12" t="s">
        <v>136</v>
      </c>
      <c r="B8" s="4">
        <v>60033</v>
      </c>
      <c r="C8" s="4">
        <v>54883.666666666664</v>
      </c>
    </row>
    <row r="9" spans="1:3" x14ac:dyDescent="0.35">
      <c r="A9" s="12" t="s">
        <v>137</v>
      </c>
      <c r="B9" s="4">
        <v>56251</v>
      </c>
      <c r="C9" s="4">
        <v>57226</v>
      </c>
    </row>
    <row r="10" spans="1:3" x14ac:dyDescent="0.35">
      <c r="A10" s="12" t="s">
        <v>138</v>
      </c>
      <c r="B10" s="4">
        <v>58984</v>
      </c>
      <c r="C10" s="4">
        <v>58422.666666666664</v>
      </c>
    </row>
    <row r="11" spans="1:3" x14ac:dyDescent="0.35">
      <c r="A11" s="12" t="s">
        <v>139</v>
      </c>
      <c r="B11" s="4">
        <v>62595</v>
      </c>
      <c r="C11" s="4">
        <v>59276.666666666664</v>
      </c>
    </row>
    <row r="12" spans="1:3" x14ac:dyDescent="0.35">
      <c r="A12" s="12" t="s">
        <v>140</v>
      </c>
      <c r="B12" s="4">
        <v>50710</v>
      </c>
      <c r="C12" s="4">
        <v>57429.666666666664</v>
      </c>
    </row>
    <row r="13" spans="1:3" x14ac:dyDescent="0.35">
      <c r="A13" s="12" t="s">
        <v>141</v>
      </c>
      <c r="B13" s="4">
        <v>58264</v>
      </c>
      <c r="C13" s="4">
        <v>57189.666666666664</v>
      </c>
    </row>
    <row r="14" spans="1:3" x14ac:dyDescent="0.35">
      <c r="A14" s="12" t="s">
        <v>142</v>
      </c>
      <c r="B14" s="4">
        <v>57227</v>
      </c>
      <c r="C14" s="4">
        <v>55400.333333333336</v>
      </c>
    </row>
    <row r="15" spans="1:3" x14ac:dyDescent="0.35">
      <c r="A15" s="12" t="s">
        <v>143</v>
      </c>
      <c r="B15" s="4">
        <v>53394</v>
      </c>
      <c r="C15" s="4">
        <v>56295</v>
      </c>
    </row>
    <row r="16" spans="1:3" x14ac:dyDescent="0.35">
      <c r="A16" s="12" t="s">
        <v>144</v>
      </c>
      <c r="B16" s="4">
        <v>75436</v>
      </c>
      <c r="C16" s="4">
        <v>62019</v>
      </c>
    </row>
    <row r="17" spans="1:3" x14ac:dyDescent="0.35">
      <c r="A17" s="10" t="s">
        <v>124</v>
      </c>
      <c r="B17" s="4">
        <v>626182</v>
      </c>
      <c r="C17" s="4">
        <v>53197.527777777781</v>
      </c>
    </row>
    <row r="18" spans="1:3" x14ac:dyDescent="0.35">
      <c r="A18" s="12" t="s">
        <v>133</v>
      </c>
      <c r="B18" s="4">
        <v>50439</v>
      </c>
      <c r="C18" s="4">
        <v>59756.333333333336</v>
      </c>
    </row>
    <row r="19" spans="1:3" x14ac:dyDescent="0.35">
      <c r="A19" s="12" t="s">
        <v>134</v>
      </c>
      <c r="B19" s="4">
        <v>48433</v>
      </c>
      <c r="C19" s="4">
        <v>58102.666666666664</v>
      </c>
    </row>
    <row r="20" spans="1:3" x14ac:dyDescent="0.35">
      <c r="A20" s="12" t="s">
        <v>135</v>
      </c>
      <c r="B20" s="4">
        <v>71850</v>
      </c>
      <c r="C20" s="4">
        <v>56907.333333333336</v>
      </c>
    </row>
    <row r="21" spans="1:3" x14ac:dyDescent="0.35">
      <c r="A21" s="12" t="s">
        <v>136</v>
      </c>
      <c r="B21" s="4">
        <v>57567</v>
      </c>
      <c r="C21" s="4">
        <v>59283.333333333336</v>
      </c>
    </row>
    <row r="22" spans="1:3" x14ac:dyDescent="0.35">
      <c r="A22" s="12" t="s">
        <v>137</v>
      </c>
      <c r="B22" s="4">
        <v>51330</v>
      </c>
      <c r="C22" s="4">
        <v>60249</v>
      </c>
    </row>
    <row r="23" spans="1:3" x14ac:dyDescent="0.35">
      <c r="A23" s="12" t="s">
        <v>138</v>
      </c>
      <c r="B23" s="4">
        <v>56293</v>
      </c>
      <c r="C23" s="4">
        <v>55063.333333333336</v>
      </c>
    </row>
    <row r="24" spans="1:3" x14ac:dyDescent="0.35">
      <c r="A24" s="12" t="s">
        <v>139</v>
      </c>
      <c r="B24" s="4">
        <v>48992</v>
      </c>
      <c r="C24" s="4">
        <v>52205</v>
      </c>
    </row>
    <row r="25" spans="1:3" x14ac:dyDescent="0.35">
      <c r="A25" s="12" t="s">
        <v>140</v>
      </c>
      <c r="B25" s="4">
        <v>39287</v>
      </c>
      <c r="C25" s="4">
        <v>48190.666666666664</v>
      </c>
    </row>
    <row r="26" spans="1:3" x14ac:dyDescent="0.35">
      <c r="A26" s="12" t="s">
        <v>141</v>
      </c>
      <c r="B26" s="4">
        <v>49712</v>
      </c>
      <c r="C26" s="4">
        <v>45997</v>
      </c>
    </row>
    <row r="27" spans="1:3" x14ac:dyDescent="0.35">
      <c r="A27" s="12" t="s">
        <v>142</v>
      </c>
      <c r="B27" s="4">
        <v>46031</v>
      </c>
      <c r="C27" s="4">
        <v>45010</v>
      </c>
    </row>
    <row r="28" spans="1:3" x14ac:dyDescent="0.35">
      <c r="A28" s="12" t="s">
        <v>143</v>
      </c>
      <c r="B28" s="4">
        <v>44795</v>
      </c>
      <c r="C28" s="4">
        <v>46846</v>
      </c>
    </row>
    <row r="29" spans="1:3" x14ac:dyDescent="0.35">
      <c r="A29" s="12" t="s">
        <v>144</v>
      </c>
      <c r="B29" s="4">
        <v>61453</v>
      </c>
      <c r="C29" s="4">
        <v>50759.666666666664</v>
      </c>
    </row>
    <row r="30" spans="1:3" x14ac:dyDescent="0.35">
      <c r="A30" s="10" t="s">
        <v>125</v>
      </c>
      <c r="B30" s="4">
        <v>602443</v>
      </c>
      <c r="C30" s="4">
        <v>49071.916666666657</v>
      </c>
    </row>
    <row r="31" spans="1:3" x14ac:dyDescent="0.35">
      <c r="A31" s="12" t="s">
        <v>133</v>
      </c>
      <c r="B31" s="4">
        <v>37482</v>
      </c>
      <c r="C31" s="4">
        <v>47910</v>
      </c>
    </row>
    <row r="32" spans="1:3" x14ac:dyDescent="0.35">
      <c r="A32" s="12" t="s">
        <v>134</v>
      </c>
      <c r="B32" s="4">
        <v>39808</v>
      </c>
      <c r="C32" s="4">
        <v>46247.666666666664</v>
      </c>
    </row>
    <row r="33" spans="1:3" x14ac:dyDescent="0.35">
      <c r="A33" s="12" t="s">
        <v>135</v>
      </c>
      <c r="B33" s="4">
        <v>71405</v>
      </c>
      <c r="C33" s="4">
        <v>49565</v>
      </c>
    </row>
    <row r="34" spans="1:3" x14ac:dyDescent="0.35">
      <c r="A34" s="12" t="s">
        <v>136</v>
      </c>
      <c r="B34" s="4">
        <v>37857</v>
      </c>
      <c r="C34" s="4">
        <v>49690</v>
      </c>
    </row>
    <row r="35" spans="1:3" x14ac:dyDescent="0.35">
      <c r="A35" s="12" t="s">
        <v>137</v>
      </c>
      <c r="B35" s="4">
        <v>42588</v>
      </c>
      <c r="C35" s="4">
        <v>50616.666666666664</v>
      </c>
    </row>
    <row r="36" spans="1:3" x14ac:dyDescent="0.35">
      <c r="A36" s="12" t="s">
        <v>138</v>
      </c>
      <c r="B36" s="4">
        <v>55246</v>
      </c>
      <c r="C36" s="4">
        <v>45230.333333333336</v>
      </c>
    </row>
    <row r="37" spans="1:3" x14ac:dyDescent="0.35">
      <c r="A37" s="12" t="s">
        <v>139</v>
      </c>
      <c r="B37" s="4">
        <v>49313</v>
      </c>
      <c r="C37" s="4">
        <v>49049</v>
      </c>
    </row>
    <row r="38" spans="1:3" x14ac:dyDescent="0.35">
      <c r="A38" s="12" t="s">
        <v>140</v>
      </c>
      <c r="B38" s="4">
        <v>39308</v>
      </c>
      <c r="C38" s="4">
        <v>47955.666666666664</v>
      </c>
    </row>
    <row r="39" spans="1:3" x14ac:dyDescent="0.35">
      <c r="A39" s="12" t="s">
        <v>141</v>
      </c>
      <c r="B39" s="4">
        <v>45930</v>
      </c>
      <c r="C39" s="4">
        <v>44850.333333333336</v>
      </c>
    </row>
    <row r="40" spans="1:3" x14ac:dyDescent="0.35">
      <c r="A40" s="12" t="s">
        <v>142</v>
      </c>
      <c r="B40" s="4">
        <v>51018</v>
      </c>
      <c r="C40" s="4">
        <v>45418.666666666664</v>
      </c>
    </row>
    <row r="41" spans="1:3" x14ac:dyDescent="0.35">
      <c r="A41" s="12" t="s">
        <v>143</v>
      </c>
      <c r="B41" s="4">
        <v>56535</v>
      </c>
      <c r="C41" s="4">
        <v>51161</v>
      </c>
    </row>
    <row r="42" spans="1:3" x14ac:dyDescent="0.35">
      <c r="A42" s="12" t="s">
        <v>144</v>
      </c>
      <c r="B42" s="4">
        <v>75953</v>
      </c>
      <c r="C42" s="4">
        <v>61168.666666666664</v>
      </c>
    </row>
    <row r="43" spans="1:3" x14ac:dyDescent="0.35">
      <c r="A43" s="10" t="s">
        <v>126</v>
      </c>
      <c r="B43" s="4">
        <v>761603</v>
      </c>
      <c r="C43" s="4">
        <v>63558.833333333336</v>
      </c>
    </row>
    <row r="44" spans="1:3" x14ac:dyDescent="0.35">
      <c r="A44" s="12" t="s">
        <v>133</v>
      </c>
      <c r="B44" s="4">
        <v>43783</v>
      </c>
      <c r="C44" s="4">
        <v>58757</v>
      </c>
    </row>
    <row r="45" spans="1:3" x14ac:dyDescent="0.35">
      <c r="A45" s="12" t="s">
        <v>134</v>
      </c>
      <c r="B45" s="4">
        <v>47988</v>
      </c>
      <c r="C45" s="4">
        <v>55908</v>
      </c>
    </row>
    <row r="46" spans="1:3" x14ac:dyDescent="0.35">
      <c r="A46" s="12" t="s">
        <v>135</v>
      </c>
      <c r="B46" s="4">
        <v>70681</v>
      </c>
      <c r="C46" s="4">
        <v>54150.666666666664</v>
      </c>
    </row>
    <row r="47" spans="1:3" x14ac:dyDescent="0.35">
      <c r="A47" s="12" t="s">
        <v>136</v>
      </c>
      <c r="B47" s="4">
        <v>54712</v>
      </c>
      <c r="C47" s="4">
        <v>57793.666666666664</v>
      </c>
    </row>
    <row r="48" spans="1:3" x14ac:dyDescent="0.35">
      <c r="A48" s="12" t="s">
        <v>137</v>
      </c>
      <c r="B48" s="4">
        <v>59640</v>
      </c>
      <c r="C48" s="4">
        <v>61677.666666666664</v>
      </c>
    </row>
    <row r="49" spans="1:3" x14ac:dyDescent="0.35">
      <c r="A49" s="12" t="s">
        <v>138</v>
      </c>
      <c r="B49" s="4">
        <v>94842</v>
      </c>
      <c r="C49" s="4">
        <v>69731.333333333328</v>
      </c>
    </row>
    <row r="50" spans="1:3" x14ac:dyDescent="0.35">
      <c r="A50" s="12" t="s">
        <v>139</v>
      </c>
      <c r="B50" s="4">
        <v>58260</v>
      </c>
      <c r="C50" s="4">
        <v>70914</v>
      </c>
    </row>
    <row r="51" spans="1:3" x14ac:dyDescent="0.35">
      <c r="A51" s="12" t="s">
        <v>140</v>
      </c>
      <c r="B51" s="4">
        <v>66993</v>
      </c>
      <c r="C51" s="4">
        <v>73365</v>
      </c>
    </row>
    <row r="52" spans="1:3" x14ac:dyDescent="0.35">
      <c r="A52" s="12" t="s">
        <v>141</v>
      </c>
      <c r="B52" s="4">
        <v>70879</v>
      </c>
      <c r="C52" s="4">
        <v>65377.333333333336</v>
      </c>
    </row>
    <row r="53" spans="1:3" x14ac:dyDescent="0.35">
      <c r="A53" s="12" t="s">
        <v>142</v>
      </c>
      <c r="B53" s="4">
        <v>63154</v>
      </c>
      <c r="C53" s="4">
        <v>67008.666666666672</v>
      </c>
    </row>
    <row r="54" spans="1:3" x14ac:dyDescent="0.35">
      <c r="A54" s="12" t="s">
        <v>143</v>
      </c>
      <c r="B54" s="4">
        <v>56210</v>
      </c>
      <c r="C54" s="4">
        <v>63414.333333333336</v>
      </c>
    </row>
    <row r="55" spans="1:3" x14ac:dyDescent="0.35">
      <c r="A55" s="12" t="s">
        <v>144</v>
      </c>
      <c r="B55" s="4">
        <v>74461</v>
      </c>
      <c r="C55" s="4">
        <v>64608.333333333336</v>
      </c>
    </row>
    <row r="56" spans="1:3" x14ac:dyDescent="0.35">
      <c r="A56" s="10" t="s">
        <v>127</v>
      </c>
      <c r="B56" s="4">
        <v>725752</v>
      </c>
      <c r="C56" s="4">
        <v>60326.30555555554</v>
      </c>
    </row>
    <row r="57" spans="1:3" x14ac:dyDescent="0.35">
      <c r="A57" s="12" t="s">
        <v>133</v>
      </c>
      <c r="B57" s="4">
        <v>58268</v>
      </c>
      <c r="C57" s="4">
        <v>62979.666666666664</v>
      </c>
    </row>
    <row r="58" spans="1:3" x14ac:dyDescent="0.35">
      <c r="A58" s="12" t="s">
        <v>134</v>
      </c>
      <c r="B58" s="4">
        <v>65700</v>
      </c>
      <c r="C58" s="4">
        <v>66143</v>
      </c>
    </row>
    <row r="59" spans="1:3" x14ac:dyDescent="0.35">
      <c r="A59" s="12" t="s">
        <v>135</v>
      </c>
      <c r="B59" s="4">
        <v>72597</v>
      </c>
      <c r="C59" s="4">
        <v>65521.666666666664</v>
      </c>
    </row>
    <row r="60" spans="1:3" x14ac:dyDescent="0.35">
      <c r="A60" s="12" t="s">
        <v>136</v>
      </c>
      <c r="B60" s="4">
        <v>50533</v>
      </c>
      <c r="C60" s="4">
        <v>62943.333333333336</v>
      </c>
    </row>
    <row r="61" spans="1:3" x14ac:dyDescent="0.35">
      <c r="A61" s="12" t="s">
        <v>137</v>
      </c>
      <c r="B61" s="4">
        <v>58226</v>
      </c>
      <c r="C61" s="4">
        <v>60452</v>
      </c>
    </row>
    <row r="62" spans="1:3" x14ac:dyDescent="0.35">
      <c r="A62" s="12" t="s">
        <v>138</v>
      </c>
      <c r="B62" s="4">
        <v>67654</v>
      </c>
      <c r="C62" s="4">
        <v>58804.333333333336</v>
      </c>
    </row>
    <row r="63" spans="1:3" x14ac:dyDescent="0.35">
      <c r="A63" s="12" t="s">
        <v>139</v>
      </c>
      <c r="B63" s="4">
        <v>57453</v>
      </c>
      <c r="C63" s="4">
        <v>61111</v>
      </c>
    </row>
    <row r="64" spans="1:3" x14ac:dyDescent="0.35">
      <c r="A64" s="12" t="s">
        <v>140</v>
      </c>
      <c r="B64" s="4">
        <v>51977</v>
      </c>
      <c r="C64" s="4">
        <v>59028</v>
      </c>
    </row>
    <row r="65" spans="1:3" x14ac:dyDescent="0.35">
      <c r="A65" s="12" t="s">
        <v>141</v>
      </c>
      <c r="B65" s="4">
        <v>57615</v>
      </c>
      <c r="C65" s="4">
        <v>55681.666666666664</v>
      </c>
    </row>
    <row r="66" spans="1:3" x14ac:dyDescent="0.35">
      <c r="A66" s="12" t="s">
        <v>142</v>
      </c>
      <c r="B66" s="4">
        <v>51984</v>
      </c>
      <c r="C66" s="4">
        <v>53858.666666666664</v>
      </c>
    </row>
    <row r="67" spans="1:3" x14ac:dyDescent="0.35">
      <c r="A67" s="12" t="s">
        <v>143</v>
      </c>
      <c r="B67" s="4">
        <v>56849</v>
      </c>
      <c r="C67" s="4">
        <v>55482.666666666664</v>
      </c>
    </row>
    <row r="68" spans="1:3" x14ac:dyDescent="0.35">
      <c r="A68" s="12" t="s">
        <v>144</v>
      </c>
      <c r="B68" s="4">
        <v>76896</v>
      </c>
      <c r="C68" s="4">
        <v>61909.666666666664</v>
      </c>
    </row>
    <row r="69" spans="1:3" x14ac:dyDescent="0.35">
      <c r="A69" s="10" t="s">
        <v>128</v>
      </c>
      <c r="B69" s="4">
        <v>760366</v>
      </c>
      <c r="C69" s="4">
        <v>63370.111111111102</v>
      </c>
    </row>
    <row r="70" spans="1:3" x14ac:dyDescent="0.35">
      <c r="A70" s="12" t="s">
        <v>133</v>
      </c>
      <c r="B70" s="4">
        <v>53264</v>
      </c>
      <c r="C70" s="4">
        <v>62336.333333333336</v>
      </c>
    </row>
    <row r="71" spans="1:3" x14ac:dyDescent="0.35">
      <c r="A71" s="12" t="s">
        <v>134</v>
      </c>
      <c r="B71" s="4">
        <v>53919</v>
      </c>
      <c r="C71" s="4">
        <v>61359.666666666664</v>
      </c>
    </row>
    <row r="72" spans="1:3" x14ac:dyDescent="0.35">
      <c r="A72" s="12" t="s">
        <v>135</v>
      </c>
      <c r="B72" s="4">
        <v>65775</v>
      </c>
      <c r="C72" s="4">
        <v>57652.666666666664</v>
      </c>
    </row>
    <row r="73" spans="1:3" x14ac:dyDescent="0.35">
      <c r="A73" s="12" t="s">
        <v>136</v>
      </c>
      <c r="B73" s="4">
        <v>56606</v>
      </c>
      <c r="C73" s="4">
        <v>58766.666666666664</v>
      </c>
    </row>
    <row r="74" spans="1:3" x14ac:dyDescent="0.35">
      <c r="A74" s="12" t="s">
        <v>137</v>
      </c>
      <c r="B74" s="4">
        <v>61576</v>
      </c>
      <c r="C74" s="4">
        <v>61319</v>
      </c>
    </row>
    <row r="75" spans="1:3" x14ac:dyDescent="0.35">
      <c r="A75" s="12" t="s">
        <v>138</v>
      </c>
      <c r="B75" s="4">
        <v>70123</v>
      </c>
      <c r="C75" s="4">
        <v>62768.333333333336</v>
      </c>
    </row>
    <row r="76" spans="1:3" x14ac:dyDescent="0.35">
      <c r="A76" s="12" t="s">
        <v>139</v>
      </c>
      <c r="B76" s="4">
        <v>60191</v>
      </c>
      <c r="C76" s="4">
        <v>63963.333333333336</v>
      </c>
    </row>
    <row r="77" spans="1:3" x14ac:dyDescent="0.35">
      <c r="A77" s="12" t="s">
        <v>140</v>
      </c>
      <c r="B77" s="4">
        <v>56093</v>
      </c>
      <c r="C77" s="4">
        <v>62135.666666666664</v>
      </c>
    </row>
    <row r="78" spans="1:3" x14ac:dyDescent="0.35">
      <c r="A78" s="12" t="s">
        <v>141</v>
      </c>
      <c r="B78" s="4">
        <v>77186</v>
      </c>
      <c r="C78" s="4">
        <v>64490</v>
      </c>
    </row>
    <row r="79" spans="1:3" x14ac:dyDescent="0.35">
      <c r="A79" s="12" t="s">
        <v>142</v>
      </c>
      <c r="B79" s="4">
        <v>71158</v>
      </c>
      <c r="C79" s="4">
        <v>68145.666666666672</v>
      </c>
    </row>
    <row r="80" spans="1:3" x14ac:dyDescent="0.35">
      <c r="A80" s="12" t="s">
        <v>143</v>
      </c>
      <c r="B80" s="4">
        <v>58535</v>
      </c>
      <c r="C80" s="4">
        <v>68959.666666666672</v>
      </c>
    </row>
    <row r="81" spans="1:3" x14ac:dyDescent="0.35">
      <c r="A81" s="12" t="s">
        <v>144</v>
      </c>
      <c r="B81" s="4">
        <v>75940</v>
      </c>
      <c r="C81" s="4">
        <v>68544.333333333328</v>
      </c>
    </row>
    <row r="82" spans="1:3" x14ac:dyDescent="0.35">
      <c r="A82" s="10" t="s">
        <v>129</v>
      </c>
      <c r="B82" s="4">
        <v>879777</v>
      </c>
      <c r="C82" s="4">
        <v>71938.944444444453</v>
      </c>
    </row>
    <row r="83" spans="1:3" x14ac:dyDescent="0.35">
      <c r="A83" s="12" t="s">
        <v>133</v>
      </c>
      <c r="B83" s="4">
        <v>52859</v>
      </c>
      <c r="C83" s="4">
        <v>62444.666666666664</v>
      </c>
    </row>
    <row r="84" spans="1:3" x14ac:dyDescent="0.35">
      <c r="A84" s="12" t="s">
        <v>134</v>
      </c>
      <c r="B84" s="4">
        <v>54450</v>
      </c>
      <c r="C84" s="4">
        <v>61083</v>
      </c>
    </row>
    <row r="85" spans="1:3" x14ac:dyDescent="0.35">
      <c r="A85" s="12" t="s">
        <v>135</v>
      </c>
      <c r="B85" s="4">
        <v>85751</v>
      </c>
      <c r="C85" s="4">
        <v>64353.333333333336</v>
      </c>
    </row>
    <row r="86" spans="1:3" x14ac:dyDescent="0.35">
      <c r="A86" s="12" t="s">
        <v>136</v>
      </c>
      <c r="B86" s="4">
        <v>72461</v>
      </c>
      <c r="C86" s="4">
        <v>70887.333333333328</v>
      </c>
    </row>
    <row r="87" spans="1:3" x14ac:dyDescent="0.35">
      <c r="A87" s="12" t="s">
        <v>137</v>
      </c>
      <c r="B87" s="4">
        <v>70087</v>
      </c>
      <c r="C87" s="4">
        <v>76099.666666666672</v>
      </c>
    </row>
    <row r="88" spans="1:3" x14ac:dyDescent="0.35">
      <c r="A88" s="12" t="s">
        <v>138</v>
      </c>
      <c r="B88" s="4">
        <v>80306</v>
      </c>
      <c r="C88" s="4">
        <v>74284.666666666672</v>
      </c>
    </row>
    <row r="89" spans="1:3" x14ac:dyDescent="0.35">
      <c r="A89" s="12" t="s">
        <v>139</v>
      </c>
      <c r="B89" s="4">
        <v>76197</v>
      </c>
      <c r="C89" s="4">
        <v>75530</v>
      </c>
    </row>
    <row r="90" spans="1:3" x14ac:dyDescent="0.35">
      <c r="A90" s="12" t="s">
        <v>140</v>
      </c>
      <c r="B90" s="4">
        <v>64868</v>
      </c>
      <c r="C90" s="4">
        <v>73790.333333333328</v>
      </c>
    </row>
    <row r="91" spans="1:3" x14ac:dyDescent="0.35">
      <c r="A91" s="12" t="s">
        <v>141</v>
      </c>
      <c r="B91" s="4">
        <v>80367</v>
      </c>
      <c r="C91" s="4">
        <v>73810.666666666672</v>
      </c>
    </row>
    <row r="92" spans="1:3" x14ac:dyDescent="0.35">
      <c r="A92" s="12" t="s">
        <v>142</v>
      </c>
      <c r="B92" s="4">
        <v>74794</v>
      </c>
      <c r="C92" s="4">
        <v>73343</v>
      </c>
    </row>
    <row r="93" spans="1:3" x14ac:dyDescent="0.35">
      <c r="A93" s="12" t="s">
        <v>143</v>
      </c>
      <c r="B93" s="4">
        <v>75330</v>
      </c>
      <c r="C93" s="4">
        <v>76830.333333333328</v>
      </c>
    </row>
    <row r="94" spans="1:3" x14ac:dyDescent="0.35">
      <c r="A94" s="12" t="s">
        <v>144</v>
      </c>
      <c r="B94" s="4">
        <v>92307</v>
      </c>
      <c r="C94" s="4">
        <v>80810.333333333328</v>
      </c>
    </row>
    <row r="95" spans="1:3" x14ac:dyDescent="0.35">
      <c r="A95" s="10" t="s">
        <v>130</v>
      </c>
      <c r="B95" s="4">
        <v>519004</v>
      </c>
      <c r="C95" s="4">
        <v>75325.428571428565</v>
      </c>
    </row>
    <row r="96" spans="1:3" x14ac:dyDescent="0.35">
      <c r="A96" s="12" t="s">
        <v>133</v>
      </c>
      <c r="B96" s="4">
        <v>61933</v>
      </c>
      <c r="C96" s="4">
        <v>76523.333333333328</v>
      </c>
    </row>
    <row r="97" spans="1:3" x14ac:dyDescent="0.35">
      <c r="A97" s="12" t="s">
        <v>134</v>
      </c>
      <c r="B97" s="4">
        <v>67661</v>
      </c>
      <c r="C97" s="4">
        <v>73967</v>
      </c>
    </row>
    <row r="98" spans="1:3" x14ac:dyDescent="0.35">
      <c r="A98" s="12" t="s">
        <v>135</v>
      </c>
      <c r="B98" s="4">
        <v>86234</v>
      </c>
      <c r="C98" s="4">
        <v>71942.666666666672</v>
      </c>
    </row>
    <row r="99" spans="1:3" x14ac:dyDescent="0.35">
      <c r="A99" s="12" t="s">
        <v>136</v>
      </c>
      <c r="B99" s="4">
        <v>69790</v>
      </c>
      <c r="C99" s="4">
        <v>74561.666666666672</v>
      </c>
    </row>
    <row r="100" spans="1:3" x14ac:dyDescent="0.35">
      <c r="A100" s="12" t="s">
        <v>137</v>
      </c>
      <c r="B100" s="4">
        <v>72760</v>
      </c>
      <c r="C100" s="4">
        <v>76261.333333333328</v>
      </c>
    </row>
    <row r="101" spans="1:3" x14ac:dyDescent="0.35">
      <c r="A101" s="12" t="s">
        <v>138</v>
      </c>
      <c r="B101" s="4">
        <v>86130</v>
      </c>
      <c r="C101" s="4">
        <v>76226.666666666672</v>
      </c>
    </row>
    <row r="102" spans="1:3" x14ac:dyDescent="0.35">
      <c r="A102" s="12" t="s">
        <v>139</v>
      </c>
      <c r="B102" s="4">
        <v>74496</v>
      </c>
      <c r="C102" s="4">
        <v>77795.333333333328</v>
      </c>
    </row>
    <row r="103" spans="1:3" hidden="1" x14ac:dyDescent="0.35">
      <c r="A103" s="10" t="s">
        <v>117</v>
      </c>
      <c r="B103" s="4">
        <v>5566305</v>
      </c>
      <c r="C103" s="4">
        <v>61075.794007490629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1930E-A4E7-4BC5-8EE6-75FEAD70BD6F}">
  <sheetPr codeName="Sheet6"/>
  <dimension ref="A3:C103"/>
  <sheetViews>
    <sheetView zoomScale="70" zoomScaleNormal="70" workbookViewId="0">
      <selection activeCell="W7" sqref="W7"/>
    </sheetView>
  </sheetViews>
  <sheetFormatPr defaultRowHeight="14.5" x14ac:dyDescent="0.35"/>
  <cols>
    <col min="1" max="1" width="10.36328125" bestFit="1" customWidth="1"/>
    <col min="2" max="2" width="19.26953125" bestFit="1" customWidth="1"/>
    <col min="3" max="3" width="20" bestFit="1" customWidth="1"/>
  </cols>
  <sheetData>
    <row r="3" spans="1:3" x14ac:dyDescent="0.35">
      <c r="A3" s="9" t="s">
        <v>152</v>
      </c>
      <c r="B3" t="s">
        <v>156</v>
      </c>
      <c r="C3" t="s">
        <v>155</v>
      </c>
    </row>
    <row r="4" spans="1:3" x14ac:dyDescent="0.35">
      <c r="A4" s="10" t="s">
        <v>123</v>
      </c>
      <c r="B4" s="13"/>
      <c r="C4" s="13"/>
    </row>
    <row r="5" spans="1:3" x14ac:dyDescent="0.35">
      <c r="A5" s="10" t="s">
        <v>124</v>
      </c>
      <c r="B5" s="13">
        <v>-9.0393589453415968E-2</v>
      </c>
      <c r="C5" s="13">
        <v>5.6258551013516234E-2</v>
      </c>
    </row>
    <row r="6" spans="1:3" x14ac:dyDescent="0.35">
      <c r="A6" s="12" t="s">
        <v>133</v>
      </c>
      <c r="B6" s="13">
        <v>-6.0131181753810603E-2</v>
      </c>
      <c r="C6" s="13">
        <v>5.4611043407752025E-2</v>
      </c>
    </row>
    <row r="7" spans="1:3" x14ac:dyDescent="0.35">
      <c r="A7" s="12" t="s">
        <v>134</v>
      </c>
      <c r="B7" s="13">
        <v>-1.6069397042093314E-2</v>
      </c>
      <c r="C7" s="13">
        <v>5.3554869281879913E-2</v>
      </c>
    </row>
    <row r="8" spans="1:3" x14ac:dyDescent="0.35">
      <c r="A8" s="12" t="s">
        <v>135</v>
      </c>
      <c r="B8" s="13">
        <v>0.29707188504170134</v>
      </c>
      <c r="C8" s="13">
        <v>6.8055434285622995E-2</v>
      </c>
    </row>
    <row r="9" spans="1:3" x14ac:dyDescent="0.35">
      <c r="A9" s="12" t="s">
        <v>136</v>
      </c>
      <c r="B9" s="13">
        <v>-4.1077407425915702E-2</v>
      </c>
      <c r="C9" s="13">
        <v>7.4525537624361871E-2</v>
      </c>
    </row>
    <row r="10" spans="1:3" x14ac:dyDescent="0.35">
      <c r="A10" s="12" t="s">
        <v>137</v>
      </c>
      <c r="B10" s="13">
        <v>-8.7482889193081004E-2</v>
      </c>
      <c r="C10" s="13">
        <v>7.2208188008329399E-2</v>
      </c>
    </row>
    <row r="11" spans="1:3" x14ac:dyDescent="0.35">
      <c r="A11" s="12" t="s">
        <v>138</v>
      </c>
      <c r="B11" s="13">
        <v>-4.5622541706225372E-2</v>
      </c>
      <c r="C11" s="13">
        <v>6.0666702740677092E-2</v>
      </c>
    </row>
    <row r="12" spans="1:3" x14ac:dyDescent="0.35">
      <c r="A12" s="12" t="s">
        <v>139</v>
      </c>
      <c r="B12" s="13">
        <v>-0.21731767713076122</v>
      </c>
      <c r="C12" s="13">
        <v>5.9485546754354912E-2</v>
      </c>
    </row>
    <row r="13" spans="1:3" x14ac:dyDescent="0.35">
      <c r="A13" s="12" t="s">
        <v>140</v>
      </c>
      <c r="B13" s="13">
        <v>-0.22526128968645243</v>
      </c>
      <c r="C13" s="13">
        <v>5.9686426273517057E-2</v>
      </c>
    </row>
    <row r="14" spans="1:3" x14ac:dyDescent="0.35">
      <c r="A14" s="12" t="s">
        <v>141</v>
      </c>
      <c r="B14" s="13">
        <v>-0.14678017300562951</v>
      </c>
      <c r="C14" s="13">
        <v>4.545239645196375E-2</v>
      </c>
    </row>
    <row r="15" spans="1:3" x14ac:dyDescent="0.35">
      <c r="A15" s="12" t="s">
        <v>142</v>
      </c>
      <c r="B15" s="13">
        <v>-0.19564191727680991</v>
      </c>
      <c r="C15" s="13">
        <v>4.6586895041985432E-2</v>
      </c>
    </row>
    <row r="16" spans="1:3" x14ac:dyDescent="0.35">
      <c r="A16" s="12" t="s">
        <v>143</v>
      </c>
      <c r="B16" s="13">
        <v>-0.16104805783421361</v>
      </c>
      <c r="C16" s="13">
        <v>3.9403902837026994E-2</v>
      </c>
    </row>
    <row r="17" spans="1:3" x14ac:dyDescent="0.35">
      <c r="A17" s="12" t="s">
        <v>144</v>
      </c>
      <c r="B17" s="13">
        <v>-0.18536242642770029</v>
      </c>
      <c r="C17" s="13">
        <v>4.0865669454723363E-2</v>
      </c>
    </row>
    <row r="18" spans="1:3" x14ac:dyDescent="0.35">
      <c r="A18" s="10" t="s">
        <v>125</v>
      </c>
      <c r="B18" s="13">
        <v>-3.6255638776494181E-2</v>
      </c>
      <c r="C18" s="13">
        <v>3.1984771551793988E-2</v>
      </c>
    </row>
    <row r="19" spans="1:3" x14ac:dyDescent="0.35">
      <c r="A19" s="12" t="s">
        <v>133</v>
      </c>
      <c r="B19" s="13">
        <v>-0.25688455361922324</v>
      </c>
      <c r="C19" s="13">
        <v>4.2050797413871077E-2</v>
      </c>
    </row>
    <row r="20" spans="1:3" x14ac:dyDescent="0.35">
      <c r="A20" s="12" t="s">
        <v>134</v>
      </c>
      <c r="B20" s="13">
        <v>-0.17808106043400163</v>
      </c>
      <c r="C20" s="13">
        <v>4.2396787200482455E-2</v>
      </c>
    </row>
    <row r="21" spans="1:3" x14ac:dyDescent="0.35">
      <c r="A21" s="12" t="s">
        <v>135</v>
      </c>
      <c r="B21" s="13">
        <v>-6.1934585942936549E-3</v>
      </c>
      <c r="C21" s="13">
        <v>3.7716991149820078E-2</v>
      </c>
    </row>
    <row r="22" spans="1:3" x14ac:dyDescent="0.35">
      <c r="A22" s="12" t="s">
        <v>136</v>
      </c>
      <c r="B22" s="13">
        <v>-0.3423836573036636</v>
      </c>
      <c r="C22" s="13">
        <v>1.8595231759977571E-2</v>
      </c>
    </row>
    <row r="23" spans="1:3" x14ac:dyDescent="0.35">
      <c r="A23" s="12" t="s">
        <v>137</v>
      </c>
      <c r="B23" s="13">
        <v>-0.17030976037405021</v>
      </c>
      <c r="C23" s="13">
        <v>1.4828696006126352E-2</v>
      </c>
    </row>
    <row r="24" spans="1:3" x14ac:dyDescent="0.35">
      <c r="A24" s="12" t="s">
        <v>138</v>
      </c>
      <c r="B24" s="13">
        <v>-1.8599115342937789E-2</v>
      </c>
      <c r="C24" s="13">
        <v>1.3566808099272132E-2</v>
      </c>
    </row>
    <row r="25" spans="1:3" x14ac:dyDescent="0.35">
      <c r="A25" s="12" t="s">
        <v>139</v>
      </c>
      <c r="B25" s="13">
        <v>6.5520901371651785E-3</v>
      </c>
      <c r="C25" s="13">
        <v>2.0465448606716397E-2</v>
      </c>
    </row>
    <row r="26" spans="1:3" x14ac:dyDescent="0.35">
      <c r="A26" s="12" t="s">
        <v>140</v>
      </c>
      <c r="B26" s="13">
        <v>5.3452796090303067E-4</v>
      </c>
      <c r="C26" s="13">
        <v>1.9395871106089535E-2</v>
      </c>
    </row>
    <row r="27" spans="1:3" x14ac:dyDescent="0.35">
      <c r="A27" s="12" t="s">
        <v>141</v>
      </c>
      <c r="B27" s="13">
        <v>-7.607821049243646E-2</v>
      </c>
      <c r="C27" s="13">
        <v>3.0240862429426585E-2</v>
      </c>
    </row>
    <row r="28" spans="1:3" x14ac:dyDescent="0.35">
      <c r="A28" s="12" t="s">
        <v>142</v>
      </c>
      <c r="B28" s="13">
        <v>0.10834003171775541</v>
      </c>
      <c r="C28" s="13">
        <v>4.0089598679087235E-2</v>
      </c>
    </row>
    <row r="29" spans="1:3" x14ac:dyDescent="0.35">
      <c r="A29" s="12" t="s">
        <v>143</v>
      </c>
      <c r="B29" s="13">
        <v>0.26208282174349806</v>
      </c>
      <c r="C29" s="13">
        <v>4.7899890658113398E-2</v>
      </c>
    </row>
    <row r="30" spans="1:3" x14ac:dyDescent="0.35">
      <c r="A30" s="12" t="s">
        <v>144</v>
      </c>
      <c r="B30" s="13">
        <v>0.23595267928335484</v>
      </c>
      <c r="C30" s="13">
        <v>5.657027551254501E-2</v>
      </c>
    </row>
    <row r="31" spans="1:3" x14ac:dyDescent="0.35">
      <c r="A31" s="10" t="s">
        <v>126</v>
      </c>
      <c r="B31" s="13">
        <v>0.29726846270622842</v>
      </c>
      <c r="C31" s="13">
        <v>9.2934576797795709E-2</v>
      </c>
    </row>
    <row r="32" spans="1:3" x14ac:dyDescent="0.35">
      <c r="A32" s="12" t="s">
        <v>133</v>
      </c>
      <c r="B32" s="13">
        <v>0.1681073581986019</v>
      </c>
      <c r="C32" s="13">
        <v>6.114684693823591E-2</v>
      </c>
    </row>
    <row r="33" spans="1:3" x14ac:dyDescent="0.35">
      <c r="A33" s="12" t="s">
        <v>134</v>
      </c>
      <c r="B33" s="13">
        <v>0.20548633440514474</v>
      </c>
      <c r="C33" s="13">
        <v>6.3370904505528181E-2</v>
      </c>
    </row>
    <row r="34" spans="1:3" x14ac:dyDescent="0.35">
      <c r="A34" s="12" t="s">
        <v>135</v>
      </c>
      <c r="B34" s="13">
        <v>-1.0139345984174764E-2</v>
      </c>
      <c r="C34" s="13">
        <v>5.4708511822422645E-2</v>
      </c>
    </row>
    <row r="35" spans="1:3" x14ac:dyDescent="0.35">
      <c r="A35" s="12" t="s">
        <v>136</v>
      </c>
      <c r="B35" s="13">
        <v>0.44522809520035933</v>
      </c>
      <c r="C35" s="13">
        <v>7.1308020839824682E-2</v>
      </c>
    </row>
    <row r="36" spans="1:3" x14ac:dyDescent="0.35">
      <c r="A36" s="12" t="s">
        <v>137</v>
      </c>
      <c r="B36" s="13">
        <v>0.40039447731755429</v>
      </c>
      <c r="C36" s="13">
        <v>7.5882223474235788E-2</v>
      </c>
    </row>
    <row r="37" spans="1:3" x14ac:dyDescent="0.35">
      <c r="A37" s="12" t="s">
        <v>138</v>
      </c>
      <c r="B37" s="13">
        <v>0.71672157260254132</v>
      </c>
      <c r="C37" s="13">
        <v>9.2322142589633671E-2</v>
      </c>
    </row>
    <row r="38" spans="1:3" x14ac:dyDescent="0.35">
      <c r="A38" s="12" t="s">
        <v>139</v>
      </c>
      <c r="B38" s="13">
        <v>0.18143288787946377</v>
      </c>
      <c r="C38" s="13">
        <v>0.10017589143048466</v>
      </c>
    </row>
    <row r="39" spans="1:3" x14ac:dyDescent="0.35">
      <c r="A39" s="12" t="s">
        <v>140</v>
      </c>
      <c r="B39" s="13">
        <v>0.70430955530680772</v>
      </c>
      <c r="C39" s="13">
        <v>0.12063043465415313</v>
      </c>
    </row>
    <row r="40" spans="1:3" x14ac:dyDescent="0.35">
      <c r="A40" s="12" t="s">
        <v>141</v>
      </c>
      <c r="B40" s="13">
        <v>0.54319616808186377</v>
      </c>
      <c r="C40" s="13">
        <v>0.12936915065407995</v>
      </c>
    </row>
    <row r="41" spans="1:3" x14ac:dyDescent="0.35">
      <c r="A41" s="12" t="s">
        <v>142</v>
      </c>
      <c r="B41" s="13">
        <v>0.23787682778627151</v>
      </c>
      <c r="C41" s="13">
        <v>0.12725837126293693</v>
      </c>
    </row>
    <row r="42" spans="1:3" x14ac:dyDescent="0.35">
      <c r="A42" s="12" t="s">
        <v>143</v>
      </c>
      <c r="B42" s="13">
        <v>-5.7486512779694188E-3</v>
      </c>
      <c r="C42" s="13">
        <v>0.12248576434334901</v>
      </c>
    </row>
    <row r="43" spans="1:3" x14ac:dyDescent="0.35">
      <c r="A43" s="12" t="s">
        <v>144</v>
      </c>
      <c r="B43" s="13">
        <v>-1.9643727041723125E-2</v>
      </c>
      <c r="C43" s="13">
        <v>9.6556659058663952E-2</v>
      </c>
    </row>
    <row r="44" spans="1:3" x14ac:dyDescent="0.35">
      <c r="A44" s="10" t="s">
        <v>127</v>
      </c>
      <c r="B44" s="13">
        <v>-1.8137550929289075E-2</v>
      </c>
      <c r="C44" s="13">
        <v>4.81349553518172E-2</v>
      </c>
    </row>
    <row r="45" spans="1:3" x14ac:dyDescent="0.35">
      <c r="A45" s="12" t="s">
        <v>133</v>
      </c>
      <c r="B45" s="13">
        <v>0.33083616928945014</v>
      </c>
      <c r="C45" s="13">
        <v>9.8742867040990445E-2</v>
      </c>
    </row>
    <row r="46" spans="1:3" x14ac:dyDescent="0.35">
      <c r="A46" s="12" t="s">
        <v>134</v>
      </c>
      <c r="B46" s="13">
        <v>0.36909227306826708</v>
      </c>
      <c r="C46" s="13">
        <v>9.096508957689653E-2</v>
      </c>
    </row>
    <row r="47" spans="1:3" x14ac:dyDescent="0.35">
      <c r="A47" s="12" t="s">
        <v>135</v>
      </c>
      <c r="B47" s="13">
        <v>2.7107709285380865E-2</v>
      </c>
      <c r="C47" s="13">
        <v>7.8833342034142051E-2</v>
      </c>
    </row>
    <row r="48" spans="1:3" x14ac:dyDescent="0.35">
      <c r="A48" s="12" t="s">
        <v>136</v>
      </c>
      <c r="B48" s="13">
        <v>-7.6381780962128998E-2</v>
      </c>
      <c r="C48" s="13">
        <v>7.4609822605347542E-2</v>
      </c>
    </row>
    <row r="49" spans="1:3" x14ac:dyDescent="0.35">
      <c r="A49" s="12" t="s">
        <v>137</v>
      </c>
      <c r="B49" s="13">
        <v>-2.370892018779347E-2</v>
      </c>
      <c r="C49" s="13">
        <v>7.4835691949951988E-2</v>
      </c>
    </row>
    <row r="50" spans="1:3" x14ac:dyDescent="0.35">
      <c r="A50" s="12" t="s">
        <v>138</v>
      </c>
      <c r="B50" s="13">
        <v>-0.28666624491259152</v>
      </c>
      <c r="C50" s="13">
        <v>5.8964017719352002E-2</v>
      </c>
    </row>
    <row r="51" spans="1:3" x14ac:dyDescent="0.35">
      <c r="A51" s="12" t="s">
        <v>139</v>
      </c>
      <c r="B51" s="13">
        <v>-1.3851699279093688E-2</v>
      </c>
      <c r="C51" s="13">
        <v>4.8596830376852251E-2</v>
      </c>
    </row>
    <row r="52" spans="1:3" x14ac:dyDescent="0.35">
      <c r="A52" s="12" t="s">
        <v>140</v>
      </c>
      <c r="B52" s="13">
        <v>-0.22414282089173498</v>
      </c>
      <c r="C52" s="13">
        <v>2.1516375691406742E-2</v>
      </c>
    </row>
    <row r="53" spans="1:3" x14ac:dyDescent="0.35">
      <c r="A53" s="12" t="s">
        <v>141</v>
      </c>
      <c r="B53" s="13">
        <v>-0.18713582302233389</v>
      </c>
      <c r="C53" s="13">
        <v>1.082295572828107E-2</v>
      </c>
    </row>
    <row r="54" spans="1:3" x14ac:dyDescent="0.35">
      <c r="A54" s="12" t="s">
        <v>142</v>
      </c>
      <c r="B54" s="13">
        <v>-0.17686924026981665</v>
      </c>
      <c r="C54" s="13">
        <v>2.1309155836424232E-3</v>
      </c>
    </row>
    <row r="55" spans="1:3" x14ac:dyDescent="0.35">
      <c r="A55" s="12" t="s">
        <v>143</v>
      </c>
      <c r="B55" s="13">
        <v>1.1368083970823673E-2</v>
      </c>
      <c r="C55" s="13">
        <v>2.306267286876551E-3</v>
      </c>
    </row>
    <row r="56" spans="1:3" x14ac:dyDescent="0.35">
      <c r="A56" s="12" t="s">
        <v>144</v>
      </c>
      <c r="B56" s="13">
        <v>3.2701682760102546E-2</v>
      </c>
      <c r="C56" s="13">
        <v>1.5295288628066839E-2</v>
      </c>
    </row>
    <row r="57" spans="1:3" x14ac:dyDescent="0.35">
      <c r="A57" s="10" t="s">
        <v>128</v>
      </c>
      <c r="B57" s="13">
        <v>5.8970280735708036E-2</v>
      </c>
      <c r="C57" s="13">
        <v>5.8600027948883899E-3</v>
      </c>
    </row>
    <row r="58" spans="1:3" x14ac:dyDescent="0.35">
      <c r="A58" s="12" t="s">
        <v>133</v>
      </c>
      <c r="B58" s="13">
        <v>-8.5879041669526979E-2</v>
      </c>
      <c r="C58" s="13">
        <v>8.9511261226089545E-3</v>
      </c>
    </row>
    <row r="59" spans="1:3" x14ac:dyDescent="0.35">
      <c r="A59" s="12" t="s">
        <v>134</v>
      </c>
      <c r="B59" s="13">
        <v>-0.17931506849315071</v>
      </c>
      <c r="C59" s="13">
        <v>9.5407401251967894E-3</v>
      </c>
    </row>
    <row r="60" spans="1:3" x14ac:dyDescent="0.35">
      <c r="A60" s="12" t="s">
        <v>135</v>
      </c>
      <c r="B60" s="13">
        <v>-9.397082524071243E-2</v>
      </c>
      <c r="C60" s="13">
        <v>1.325144239717102E-2</v>
      </c>
    </row>
    <row r="61" spans="1:3" x14ac:dyDescent="0.35">
      <c r="A61" s="12" t="s">
        <v>136</v>
      </c>
      <c r="B61" s="13">
        <v>0.12017889300061335</v>
      </c>
      <c r="C61" s="13">
        <v>8.8560278160692008E-3</v>
      </c>
    </row>
    <row r="62" spans="1:3" x14ac:dyDescent="0.35">
      <c r="A62" s="12" t="s">
        <v>137</v>
      </c>
      <c r="B62" s="13">
        <v>5.7534434788582445E-2</v>
      </c>
      <c r="C62" s="13">
        <v>1.5240877886324444E-3</v>
      </c>
    </row>
    <row r="63" spans="1:3" x14ac:dyDescent="0.35">
      <c r="A63" s="12" t="s">
        <v>138</v>
      </c>
      <c r="B63" s="13">
        <v>3.6494516214857997E-2</v>
      </c>
      <c r="C63" s="13">
        <v>5.1640747957453215E-3</v>
      </c>
    </row>
    <row r="64" spans="1:3" x14ac:dyDescent="0.35">
      <c r="A64" s="12" t="s">
        <v>139</v>
      </c>
      <c r="B64" s="13">
        <v>4.7656345186500193E-2</v>
      </c>
      <c r="C64" s="13">
        <v>5.7753520319536733E-4</v>
      </c>
    </row>
    <row r="65" spans="1:3" x14ac:dyDescent="0.35">
      <c r="A65" s="12" t="s">
        <v>140</v>
      </c>
      <c r="B65" s="13">
        <v>7.9188872001077382E-2</v>
      </c>
      <c r="C65" s="13">
        <v>3.9664894687825303E-3</v>
      </c>
    </row>
    <row r="66" spans="1:3" x14ac:dyDescent="0.35">
      <c r="A66" s="12" t="s">
        <v>141</v>
      </c>
      <c r="B66" s="13">
        <v>0.33968584569990457</v>
      </c>
      <c r="C66" s="13">
        <v>6.1550884109977666E-3</v>
      </c>
    </row>
    <row r="67" spans="1:3" x14ac:dyDescent="0.35">
      <c r="A67" s="12" t="s">
        <v>142</v>
      </c>
      <c r="B67" s="13">
        <v>0.36884425977223767</v>
      </c>
      <c r="C67" s="13">
        <v>2.6814143224280773E-3</v>
      </c>
    </row>
    <row r="68" spans="1:3" x14ac:dyDescent="0.35">
      <c r="A68" s="12" t="s">
        <v>143</v>
      </c>
      <c r="B68" s="13">
        <v>2.9657513764534071E-2</v>
      </c>
      <c r="C68" s="13">
        <v>2.9366460503728042E-3</v>
      </c>
    </row>
    <row r="69" spans="1:3" x14ac:dyDescent="0.35">
      <c r="A69" s="12" t="s">
        <v>144</v>
      </c>
      <c r="B69" s="13">
        <v>-1.2432376196421124E-2</v>
      </c>
      <c r="C69" s="13">
        <v>6.7153610374603989E-3</v>
      </c>
    </row>
    <row r="70" spans="1:3" x14ac:dyDescent="0.35">
      <c r="A70" s="10" t="s">
        <v>129</v>
      </c>
      <c r="B70" s="13">
        <v>0.15721586806549456</v>
      </c>
      <c r="C70" s="13">
        <v>7.5607593754906484E-3</v>
      </c>
    </row>
    <row r="71" spans="1:3" x14ac:dyDescent="0.35">
      <c r="A71" s="12" t="s">
        <v>133</v>
      </c>
      <c r="B71" s="13">
        <v>-7.6036347251426939E-3</v>
      </c>
      <c r="C71" s="13">
        <v>6.733569971344E-3</v>
      </c>
    </row>
    <row r="72" spans="1:3" x14ac:dyDescent="0.35">
      <c r="A72" s="12" t="s">
        <v>134</v>
      </c>
      <c r="B72" s="13">
        <v>9.8481054915706689E-3</v>
      </c>
      <c r="C72" s="13">
        <v>7.1281688712372393E-3</v>
      </c>
    </row>
    <row r="73" spans="1:3" x14ac:dyDescent="0.35">
      <c r="A73" s="12" t="s">
        <v>135</v>
      </c>
      <c r="B73" s="13">
        <v>0.30370201444317746</v>
      </c>
      <c r="C73" s="13">
        <v>6.1937474743765097E-3</v>
      </c>
    </row>
    <row r="74" spans="1:3" x14ac:dyDescent="0.35">
      <c r="A74" s="12" t="s">
        <v>136</v>
      </c>
      <c r="B74" s="13">
        <v>0.2800939829700031</v>
      </c>
      <c r="C74" s="13">
        <v>7.2854711006706818E-3</v>
      </c>
    </row>
    <row r="75" spans="1:3" x14ac:dyDescent="0.35">
      <c r="A75" s="12" t="s">
        <v>137</v>
      </c>
      <c r="B75" s="13">
        <v>0.13821943614395216</v>
      </c>
      <c r="C75" s="13">
        <v>5.2594197028663636E-3</v>
      </c>
    </row>
    <row r="76" spans="1:3" x14ac:dyDescent="0.35">
      <c r="A76" s="12" t="s">
        <v>138</v>
      </c>
      <c r="B76" s="13">
        <v>0.14521626285241651</v>
      </c>
      <c r="C76" s="13">
        <v>4.3245765671637848E-3</v>
      </c>
    </row>
    <row r="77" spans="1:3" x14ac:dyDescent="0.35">
      <c r="A77" s="12" t="s">
        <v>139</v>
      </c>
      <c r="B77" s="13">
        <v>0.26592015417587356</v>
      </c>
      <c r="C77" s="13">
        <v>5.8182827584079E-3</v>
      </c>
    </row>
    <row r="78" spans="1:3" x14ac:dyDescent="0.35">
      <c r="A78" s="12" t="s">
        <v>140</v>
      </c>
      <c r="B78" s="13">
        <v>0.1564366320218209</v>
      </c>
      <c r="C78" s="13">
        <v>1.1214918949092434E-2</v>
      </c>
    </row>
    <row r="79" spans="1:3" x14ac:dyDescent="0.35">
      <c r="A79" s="12" t="s">
        <v>141</v>
      </c>
      <c r="B79" s="13">
        <v>4.1212136916020992E-2</v>
      </c>
      <c r="C79" s="13">
        <v>7.3447436284679313E-3</v>
      </c>
    </row>
    <row r="80" spans="1:3" x14ac:dyDescent="0.35">
      <c r="A80" s="12" t="s">
        <v>142</v>
      </c>
      <c r="B80" s="13">
        <v>5.1097557547991723E-2</v>
      </c>
      <c r="C80" s="13">
        <v>1.0998774397043887E-2</v>
      </c>
    </row>
    <row r="81" spans="1:3" x14ac:dyDescent="0.35">
      <c r="A81" s="12" t="s">
        <v>143</v>
      </c>
      <c r="B81" s="13">
        <v>0.28692235414709155</v>
      </c>
      <c r="C81" s="13">
        <v>1.1273275632138757E-2</v>
      </c>
    </row>
    <row r="82" spans="1:3" x14ac:dyDescent="0.35">
      <c r="A82" s="12" t="s">
        <v>144</v>
      </c>
      <c r="B82" s="13">
        <v>0.21552541480115872</v>
      </c>
      <c r="C82" s="13">
        <v>7.1541634530782883E-3</v>
      </c>
    </row>
    <row r="83" spans="1:3" x14ac:dyDescent="0.35">
      <c r="A83" s="10" t="s">
        <v>130</v>
      </c>
      <c r="B83" s="13">
        <v>6.7342726008022755E-2</v>
      </c>
      <c r="C83" s="13">
        <v>2.6832007877306075E-3</v>
      </c>
    </row>
    <row r="84" spans="1:3" x14ac:dyDescent="0.35">
      <c r="A84" s="12" t="s">
        <v>133</v>
      </c>
      <c r="B84" s="13">
        <v>0.17166423882404125</v>
      </c>
      <c r="C84" s="13">
        <v>-2.0821131545039062E-3</v>
      </c>
    </row>
    <row r="85" spans="1:3" x14ac:dyDescent="0.35">
      <c r="A85" s="12" t="s">
        <v>134</v>
      </c>
      <c r="B85" s="13">
        <v>0.24262626262626252</v>
      </c>
      <c r="C85" s="13">
        <v>-1.6404484378887974E-3</v>
      </c>
    </row>
    <row r="86" spans="1:3" x14ac:dyDescent="0.35">
      <c r="A86" s="12" t="s">
        <v>135</v>
      </c>
      <c r="B86" s="13">
        <v>5.6325873750744382E-3</v>
      </c>
      <c r="C86" s="13">
        <v>-8.7624499810146084E-4</v>
      </c>
    </row>
    <row r="87" spans="1:3" x14ac:dyDescent="0.35">
      <c r="A87" s="12" t="s">
        <v>136</v>
      </c>
      <c r="B87" s="13">
        <v>-3.6861208098149301E-2</v>
      </c>
      <c r="C87" s="13">
        <v>5.8740772955601095E-4</v>
      </c>
    </row>
    <row r="88" spans="1:3" x14ac:dyDescent="0.35">
      <c r="A88" s="12" t="s">
        <v>137</v>
      </c>
      <c r="B88" s="13">
        <v>3.8138313809979119E-2</v>
      </c>
      <c r="C88" s="13">
        <v>6.1501135719999045E-3</v>
      </c>
    </row>
    <row r="89" spans="1:3" x14ac:dyDescent="0.35">
      <c r="A89" s="12" t="s">
        <v>138</v>
      </c>
      <c r="B89" s="13">
        <v>7.2522601050980073E-2</v>
      </c>
      <c r="C89" s="13">
        <v>8.4365744643857266E-3</v>
      </c>
    </row>
    <row r="90" spans="1:3" x14ac:dyDescent="0.35">
      <c r="A90" s="12" t="s">
        <v>139</v>
      </c>
      <c r="B90" s="13">
        <v>-2.2323713532028777E-2</v>
      </c>
      <c r="C90" s="13">
        <v>8.2071163386667756E-3</v>
      </c>
    </row>
    <row r="91" spans="1:3" hidden="1" x14ac:dyDescent="0.35">
      <c r="A91" s="10" t="s">
        <v>117</v>
      </c>
      <c r="B91" s="13">
        <v>6.1967254053606834E-2</v>
      </c>
      <c r="C91" s="13">
        <v>3.7108681115667598E-2</v>
      </c>
    </row>
    <row r="103" hidden="1" x14ac:dyDescent="0.35"/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DD21-1EEE-4CD3-BD3B-2E02DAD040C9}">
  <dimension ref="A3:B7"/>
  <sheetViews>
    <sheetView workbookViewId="0">
      <selection activeCell="D19" sqref="D19"/>
    </sheetView>
  </sheetViews>
  <sheetFormatPr defaultRowHeight="14.5" x14ac:dyDescent="0.35"/>
  <cols>
    <col min="1" max="1" width="12.453125" bestFit="1" customWidth="1"/>
    <col min="2" max="2" width="26.90625" bestFit="1" customWidth="1"/>
  </cols>
  <sheetData>
    <row r="3" spans="1:2" x14ac:dyDescent="0.35">
      <c r="A3" s="9" t="s">
        <v>162</v>
      </c>
      <c r="B3" t="s">
        <v>161</v>
      </c>
    </row>
    <row r="4" spans="1:2" x14ac:dyDescent="0.35">
      <c r="A4" s="10" t="s">
        <v>158</v>
      </c>
      <c r="B4" s="4">
        <v>1.2907142857142853</v>
      </c>
    </row>
    <row r="5" spans="1:2" x14ac:dyDescent="0.35">
      <c r="A5" s="10" t="s">
        <v>160</v>
      </c>
      <c r="B5" s="4">
        <v>2.02</v>
      </c>
    </row>
    <row r="6" spans="1:2" x14ac:dyDescent="0.35">
      <c r="A6" s="10" t="s">
        <v>159</v>
      </c>
      <c r="B6" s="4">
        <v>4.1253191489361685</v>
      </c>
    </row>
    <row r="7" spans="1:2" hidden="1" x14ac:dyDescent="0.35">
      <c r="A7" s="10" t="s">
        <v>117</v>
      </c>
      <c r="B7" s="4">
        <v>2.77076923076923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F3E48-C25D-4760-9F9A-20DA63CE4588}">
  <dimension ref="A3:B7"/>
  <sheetViews>
    <sheetView zoomScale="85" zoomScaleNormal="85" workbookViewId="0">
      <selection activeCell="O23" sqref="O23"/>
    </sheetView>
  </sheetViews>
  <sheetFormatPr defaultRowHeight="14.5" x14ac:dyDescent="0.35"/>
  <cols>
    <col min="1" max="1" width="12.453125" bestFit="1" customWidth="1"/>
    <col min="2" max="2" width="29.453125" bestFit="1" customWidth="1"/>
  </cols>
  <sheetData>
    <row r="3" spans="1:2" x14ac:dyDescent="0.35">
      <c r="A3" s="9" t="s">
        <v>162</v>
      </c>
      <c r="B3" t="s">
        <v>163</v>
      </c>
    </row>
    <row r="4" spans="1:2" x14ac:dyDescent="0.35">
      <c r="A4" s="10" t="s">
        <v>158</v>
      </c>
      <c r="B4" s="4">
        <v>54558.309523809527</v>
      </c>
    </row>
    <row r="5" spans="1:2" x14ac:dyDescent="0.35">
      <c r="A5" s="10" t="s">
        <v>160</v>
      </c>
      <c r="B5" s="4">
        <v>62626.5</v>
      </c>
    </row>
    <row r="6" spans="1:2" x14ac:dyDescent="0.35">
      <c r="A6" s="10" t="s">
        <v>159</v>
      </c>
      <c r="B6" s="4">
        <v>67012.829787234048</v>
      </c>
    </row>
    <row r="7" spans="1:2" hidden="1" x14ac:dyDescent="0.35">
      <c r="A7" s="10" t="s">
        <v>117</v>
      </c>
      <c r="B7" s="4">
        <v>61168.18681318681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90047-9A7A-48B6-BBBE-B566B53CE198}">
  <sheetPr codeName="Sheet3"/>
  <dimension ref="A3:H12"/>
  <sheetViews>
    <sheetView topLeftCell="B1" zoomScale="70" zoomScaleNormal="70" workbookViewId="0">
      <selection activeCell="D18" sqref="D18"/>
    </sheetView>
  </sheetViews>
  <sheetFormatPr defaultRowHeight="14.5" x14ac:dyDescent="0.35"/>
  <cols>
    <col min="1" max="1" width="10.36328125" bestFit="1" customWidth="1"/>
    <col min="2" max="2" width="17.6328125" bestFit="1" customWidth="1"/>
    <col min="3" max="3" width="28" bestFit="1" customWidth="1"/>
    <col min="4" max="4" width="25.7265625" bestFit="1" customWidth="1"/>
    <col min="5" max="5" width="19.453125" bestFit="1" customWidth="1"/>
    <col min="6" max="6" width="23.36328125" bestFit="1" customWidth="1"/>
    <col min="7" max="7" width="29.81640625" style="5" bestFit="1" customWidth="1"/>
    <col min="8" max="8" width="30.90625" style="5" bestFit="1" customWidth="1"/>
    <col min="9" max="11" width="12.453125" bestFit="1" customWidth="1"/>
    <col min="12" max="14" width="11.453125" bestFit="1" customWidth="1"/>
    <col min="15" max="20" width="12.453125" bestFit="1" customWidth="1"/>
    <col min="21" max="21" width="11.453125" bestFit="1" customWidth="1"/>
    <col min="22" max="25" width="12.453125" bestFit="1" customWidth="1"/>
    <col min="26" max="26" width="11.453125" bestFit="1" customWidth="1"/>
    <col min="27" max="36" width="12.453125" bestFit="1" customWidth="1"/>
    <col min="37" max="38" width="11.81640625" bestFit="1" customWidth="1"/>
    <col min="39" max="39" width="10.81640625" bestFit="1" customWidth="1"/>
    <col min="40" max="73" width="11.81640625" bestFit="1" customWidth="1"/>
    <col min="74" max="74" width="10.81640625" bestFit="1" customWidth="1"/>
    <col min="75" max="80" width="11.81640625" bestFit="1" customWidth="1"/>
    <col min="81" max="81" width="5.36328125" bestFit="1" customWidth="1"/>
    <col min="82" max="82" width="10.36328125" bestFit="1" customWidth="1"/>
    <col min="83" max="84" width="12.453125" bestFit="1" customWidth="1"/>
    <col min="85" max="85" width="11.453125" bestFit="1" customWidth="1"/>
    <col min="86" max="91" width="12.453125" bestFit="1" customWidth="1"/>
    <col min="92" max="94" width="11.453125" bestFit="1" customWidth="1"/>
    <col min="95" max="100" width="12.453125" bestFit="1" customWidth="1"/>
    <col min="101" max="101" width="11.453125" bestFit="1" customWidth="1"/>
    <col min="102" max="105" width="12.453125" bestFit="1" customWidth="1"/>
    <col min="106" max="106" width="11.453125" bestFit="1" customWidth="1"/>
    <col min="107" max="116" width="12.453125" bestFit="1" customWidth="1"/>
    <col min="117" max="118" width="11.81640625" bestFit="1" customWidth="1"/>
    <col min="119" max="119" width="10.81640625" bestFit="1" customWidth="1"/>
    <col min="120" max="153" width="11.81640625" bestFit="1" customWidth="1"/>
    <col min="154" max="154" width="10.81640625" bestFit="1" customWidth="1"/>
    <col min="155" max="160" width="11.81640625" bestFit="1" customWidth="1"/>
    <col min="161" max="161" width="9.36328125" bestFit="1" customWidth="1"/>
    <col min="162" max="162" width="14.7265625" bestFit="1" customWidth="1"/>
    <col min="163" max="164" width="12.453125" bestFit="1" customWidth="1"/>
    <col min="165" max="165" width="11.453125" bestFit="1" customWidth="1"/>
    <col min="166" max="171" width="12.453125" bestFit="1" customWidth="1"/>
    <col min="172" max="174" width="11.453125" bestFit="1" customWidth="1"/>
    <col min="175" max="180" width="12.453125" bestFit="1" customWidth="1"/>
    <col min="181" max="181" width="11.453125" bestFit="1" customWidth="1"/>
    <col min="182" max="185" width="12.453125" bestFit="1" customWidth="1"/>
    <col min="186" max="186" width="11.453125" bestFit="1" customWidth="1"/>
    <col min="187" max="196" width="12.453125" bestFit="1" customWidth="1"/>
    <col min="197" max="198" width="11.81640625" bestFit="1" customWidth="1"/>
    <col min="199" max="199" width="10.81640625" bestFit="1" customWidth="1"/>
    <col min="200" max="233" width="11.81640625" bestFit="1" customWidth="1"/>
    <col min="234" max="234" width="10.81640625" bestFit="1" customWidth="1"/>
    <col min="235" max="240" width="11.81640625" bestFit="1" customWidth="1"/>
    <col min="241" max="241" width="5" bestFit="1" customWidth="1"/>
    <col min="242" max="242" width="20.54296875" bestFit="1" customWidth="1"/>
    <col min="243" max="244" width="12.453125" bestFit="1" customWidth="1"/>
    <col min="245" max="245" width="11.453125" bestFit="1" customWidth="1"/>
    <col min="246" max="251" width="12.453125" bestFit="1" customWidth="1"/>
    <col min="252" max="254" width="11.453125" bestFit="1" customWidth="1"/>
    <col min="255" max="260" width="12.453125" bestFit="1" customWidth="1"/>
    <col min="261" max="261" width="11.453125" bestFit="1" customWidth="1"/>
    <col min="262" max="265" width="12.453125" bestFit="1" customWidth="1"/>
    <col min="266" max="266" width="11.453125" bestFit="1" customWidth="1"/>
    <col min="267" max="276" width="12.453125" bestFit="1" customWidth="1"/>
    <col min="277" max="278" width="11.81640625" bestFit="1" customWidth="1"/>
    <col min="279" max="279" width="10.81640625" bestFit="1" customWidth="1"/>
    <col min="280" max="313" width="11.81640625" bestFit="1" customWidth="1"/>
    <col min="314" max="314" width="10.81640625" bestFit="1" customWidth="1"/>
    <col min="315" max="320" width="11.81640625" bestFit="1" customWidth="1"/>
    <col min="321" max="321" width="5.36328125" bestFit="1" customWidth="1"/>
    <col min="322" max="322" width="29.6328125" bestFit="1" customWidth="1"/>
    <col min="323" max="323" width="27.453125" bestFit="1" customWidth="1"/>
    <col min="324" max="324" width="19.26953125" bestFit="1" customWidth="1"/>
    <col min="325" max="325" width="25.1796875" bestFit="1" customWidth="1"/>
    <col min="326" max="331" width="12.453125" bestFit="1" customWidth="1"/>
    <col min="332" max="334" width="11.453125" bestFit="1" customWidth="1"/>
    <col min="335" max="340" width="12.453125" bestFit="1" customWidth="1"/>
    <col min="341" max="341" width="11.453125" bestFit="1" customWidth="1"/>
    <col min="342" max="345" width="12.453125" bestFit="1" customWidth="1"/>
    <col min="346" max="346" width="11.453125" bestFit="1" customWidth="1"/>
    <col min="347" max="356" width="12.453125" bestFit="1" customWidth="1"/>
    <col min="357" max="358" width="11.81640625" bestFit="1" customWidth="1"/>
    <col min="359" max="359" width="10.81640625" bestFit="1" customWidth="1"/>
    <col min="360" max="393" width="11.81640625" bestFit="1" customWidth="1"/>
    <col min="394" max="394" width="10.81640625" bestFit="1" customWidth="1"/>
    <col min="395" max="400" width="11.81640625" bestFit="1" customWidth="1"/>
    <col min="401" max="401" width="5.36328125" bestFit="1" customWidth="1"/>
    <col min="402" max="402" width="31.54296875" bestFit="1" customWidth="1"/>
    <col min="403" max="403" width="29.6328125" bestFit="1" customWidth="1"/>
    <col min="404" max="404" width="27.453125" bestFit="1" customWidth="1"/>
    <col min="405" max="405" width="19.26953125" bestFit="1" customWidth="1"/>
    <col min="406" max="406" width="25.1796875" bestFit="1" customWidth="1"/>
    <col min="407" max="407" width="23.08984375" bestFit="1" customWidth="1"/>
    <col min="408" max="408" width="13.54296875" bestFit="1" customWidth="1"/>
    <col min="409" max="409" width="22.08984375" bestFit="1" customWidth="1"/>
    <col min="410" max="410" width="13.54296875" bestFit="1" customWidth="1"/>
    <col min="411" max="411" width="23.08984375" bestFit="1" customWidth="1"/>
    <col min="412" max="412" width="13.54296875" bestFit="1" customWidth="1"/>
    <col min="413" max="413" width="22.08984375" bestFit="1" customWidth="1"/>
    <col min="414" max="414" width="13.54296875" bestFit="1" customWidth="1"/>
    <col min="415" max="415" width="23.08984375" bestFit="1" customWidth="1"/>
    <col min="416" max="416" width="13.54296875" bestFit="1" customWidth="1"/>
    <col min="417" max="417" width="23.08984375" bestFit="1" customWidth="1"/>
    <col min="418" max="418" width="13.54296875" bestFit="1" customWidth="1"/>
    <col min="419" max="419" width="23.08984375" bestFit="1" customWidth="1"/>
    <col min="420" max="420" width="13.54296875" bestFit="1" customWidth="1"/>
    <col min="421" max="421" width="23.08984375" bestFit="1" customWidth="1"/>
    <col min="422" max="422" width="13.54296875" bestFit="1" customWidth="1"/>
    <col min="423" max="423" width="23.08984375" bestFit="1" customWidth="1"/>
    <col min="424" max="424" width="13.54296875" bestFit="1" customWidth="1"/>
    <col min="425" max="425" width="22.08984375" bestFit="1" customWidth="1"/>
    <col min="426" max="426" width="13.54296875" bestFit="1" customWidth="1"/>
    <col min="427" max="427" width="22.08984375" bestFit="1" customWidth="1"/>
    <col min="428" max="428" width="13.54296875" bestFit="1" customWidth="1"/>
    <col min="429" max="429" width="22.08984375" bestFit="1" customWidth="1"/>
    <col min="430" max="430" width="13.54296875" bestFit="1" customWidth="1"/>
    <col min="431" max="431" width="22.08984375" bestFit="1" customWidth="1"/>
    <col min="432" max="432" width="13.54296875" bestFit="1" customWidth="1"/>
    <col min="433" max="433" width="22.08984375" bestFit="1" customWidth="1"/>
    <col min="434" max="434" width="13.54296875" bestFit="1" customWidth="1"/>
    <col min="435" max="435" width="22.08984375" bestFit="1" customWidth="1"/>
    <col min="436" max="436" width="13.54296875" bestFit="1" customWidth="1"/>
    <col min="437" max="437" width="22.08984375" bestFit="1" customWidth="1"/>
    <col min="438" max="438" width="13.54296875" bestFit="1" customWidth="1"/>
    <col min="439" max="439" width="22.08984375" bestFit="1" customWidth="1"/>
    <col min="440" max="440" width="13.54296875" bestFit="1" customWidth="1"/>
    <col min="441" max="441" width="22.08984375" bestFit="1" customWidth="1"/>
    <col min="442" max="442" width="13.54296875" bestFit="1" customWidth="1"/>
    <col min="443" max="443" width="22.08984375" bestFit="1" customWidth="1"/>
    <col min="444" max="444" width="13.54296875" bestFit="1" customWidth="1"/>
    <col min="445" max="445" width="22.08984375" bestFit="1" customWidth="1"/>
    <col min="446" max="446" width="13.54296875" bestFit="1" customWidth="1"/>
    <col min="447" max="447" width="22.08984375" bestFit="1" customWidth="1"/>
    <col min="448" max="448" width="13.54296875" bestFit="1" customWidth="1"/>
    <col min="449" max="449" width="22.08984375" bestFit="1" customWidth="1"/>
    <col min="450" max="450" width="13.54296875" bestFit="1" customWidth="1"/>
    <col min="451" max="451" width="22.08984375" bestFit="1" customWidth="1"/>
    <col min="452" max="452" width="13.54296875" bestFit="1" customWidth="1"/>
    <col min="453" max="453" width="22.08984375" bestFit="1" customWidth="1"/>
    <col min="454" max="454" width="13.54296875" bestFit="1" customWidth="1"/>
    <col min="455" max="455" width="22.08984375" bestFit="1" customWidth="1"/>
    <col min="456" max="456" width="13.54296875" bestFit="1" customWidth="1"/>
    <col min="457" max="457" width="22.08984375" bestFit="1" customWidth="1"/>
    <col min="458" max="458" width="13.54296875" bestFit="1" customWidth="1"/>
    <col min="459" max="459" width="22.08984375" bestFit="1" customWidth="1"/>
    <col min="460" max="460" width="13.54296875" bestFit="1" customWidth="1"/>
    <col min="461" max="461" width="22.08984375" bestFit="1" customWidth="1"/>
    <col min="462" max="462" width="13.54296875" bestFit="1" customWidth="1"/>
    <col min="463" max="463" width="21.08984375" bestFit="1" customWidth="1"/>
    <col min="464" max="464" width="13.54296875" bestFit="1" customWidth="1"/>
    <col min="465" max="465" width="22.08984375" bestFit="1" customWidth="1"/>
    <col min="466" max="466" width="12.54296875" bestFit="1" customWidth="1"/>
    <col min="467" max="467" width="22.08984375" bestFit="1" customWidth="1"/>
    <col min="468" max="468" width="13.54296875" bestFit="1" customWidth="1"/>
    <col min="469" max="469" width="22.08984375" bestFit="1" customWidth="1"/>
    <col min="470" max="470" width="13.54296875" bestFit="1" customWidth="1"/>
    <col min="471" max="471" width="22.08984375" bestFit="1" customWidth="1"/>
    <col min="472" max="472" width="13.54296875" bestFit="1" customWidth="1"/>
    <col min="473" max="473" width="22.08984375" bestFit="1" customWidth="1"/>
    <col min="474" max="474" width="13.54296875" bestFit="1" customWidth="1"/>
    <col min="475" max="475" width="22.08984375" bestFit="1" customWidth="1"/>
    <col min="476" max="476" width="13.54296875" bestFit="1" customWidth="1"/>
    <col min="477" max="477" width="22.08984375" bestFit="1" customWidth="1"/>
    <col min="478" max="478" width="13.54296875" bestFit="1" customWidth="1"/>
    <col min="479" max="479" width="22.08984375" bestFit="1" customWidth="1"/>
    <col min="480" max="480" width="5" bestFit="1" customWidth="1"/>
    <col min="481" max="481" width="5.26953125" bestFit="1" customWidth="1"/>
    <col min="482" max="482" width="20.54296875" bestFit="1" customWidth="1"/>
    <col min="483" max="483" width="22.7265625" bestFit="1" customWidth="1"/>
    <col min="484" max="484" width="14.1796875" bestFit="1" customWidth="1"/>
    <col min="485" max="485" width="22.7265625" bestFit="1" customWidth="1"/>
    <col min="486" max="486" width="14.1796875" bestFit="1" customWidth="1"/>
    <col min="487" max="487" width="22.7265625" bestFit="1" customWidth="1"/>
    <col min="488" max="488" width="13.1796875" bestFit="1" customWidth="1"/>
    <col min="489" max="489" width="22.7265625" bestFit="1" customWidth="1"/>
    <col min="490" max="490" width="14.1796875" bestFit="1" customWidth="1"/>
    <col min="491" max="491" width="22.7265625" bestFit="1" customWidth="1"/>
    <col min="492" max="492" width="14.1796875" bestFit="1" customWidth="1"/>
    <col min="493" max="493" width="22.7265625" bestFit="1" customWidth="1"/>
    <col min="494" max="494" width="14.1796875" bestFit="1" customWidth="1"/>
    <col min="495" max="495" width="21.7265625" bestFit="1" customWidth="1"/>
    <col min="496" max="496" width="14.1796875" bestFit="1" customWidth="1"/>
    <col min="497" max="497" width="22.7265625" bestFit="1" customWidth="1"/>
    <col min="498" max="498" width="14.1796875" bestFit="1" customWidth="1"/>
    <col min="499" max="499" width="20.6328125" bestFit="1" customWidth="1"/>
    <col min="500" max="500" width="14.1796875" bestFit="1" customWidth="1"/>
    <col min="501" max="501" width="22.7265625" bestFit="1" customWidth="1"/>
    <col min="502" max="502" width="13.1796875" bestFit="1" customWidth="1"/>
    <col min="503" max="503" width="22.7265625" bestFit="1" customWidth="1"/>
    <col min="504" max="504" width="13.1796875" bestFit="1" customWidth="1"/>
    <col min="505" max="505" width="22.7265625" bestFit="1" customWidth="1"/>
    <col min="506" max="506" width="13.1796875" bestFit="1" customWidth="1"/>
    <col min="507" max="507" width="21.7265625" bestFit="1" customWidth="1"/>
    <col min="508" max="508" width="14.1796875" bestFit="1" customWidth="1"/>
    <col min="509" max="509" width="22.7265625" bestFit="1" customWidth="1"/>
    <col min="510" max="510" width="14.1796875" bestFit="1" customWidth="1"/>
    <col min="511" max="511" width="21.7265625" bestFit="1" customWidth="1"/>
    <col min="512" max="512" width="14.1796875" bestFit="1" customWidth="1"/>
    <col min="513" max="513" width="23.7265625" bestFit="1" customWidth="1"/>
    <col min="514" max="514" width="14.1796875" bestFit="1" customWidth="1"/>
    <col min="515" max="515" width="22.7265625" bestFit="1" customWidth="1"/>
    <col min="516" max="516" width="14.1796875" bestFit="1" customWidth="1"/>
    <col min="517" max="517" width="22.7265625" bestFit="1" customWidth="1"/>
    <col min="518" max="518" width="14.1796875" bestFit="1" customWidth="1"/>
    <col min="519" max="519" width="22.7265625" bestFit="1" customWidth="1"/>
    <col min="520" max="520" width="13.1796875" bestFit="1" customWidth="1"/>
    <col min="521" max="521" width="23.7265625" bestFit="1" customWidth="1"/>
    <col min="522" max="522" width="14.1796875" bestFit="1" customWidth="1"/>
    <col min="523" max="523" width="23.7265625" bestFit="1" customWidth="1"/>
    <col min="524" max="524" width="14.1796875" bestFit="1" customWidth="1"/>
    <col min="525" max="525" width="23.7265625" bestFit="1" customWidth="1"/>
    <col min="526" max="526" width="14.1796875" bestFit="1" customWidth="1"/>
    <col min="527" max="527" width="23.7265625" bestFit="1" customWidth="1"/>
    <col min="528" max="528" width="14.1796875" bestFit="1" customWidth="1"/>
    <col min="529" max="529" width="23.7265625" bestFit="1" customWidth="1"/>
    <col min="530" max="530" width="13.1796875" bestFit="1" customWidth="1"/>
    <col min="531" max="531" width="23.7265625" bestFit="1" customWidth="1"/>
    <col min="532" max="532" width="14.1796875" bestFit="1" customWidth="1"/>
    <col min="533" max="533" width="23.7265625" bestFit="1" customWidth="1"/>
    <col min="534" max="534" width="14.1796875" bestFit="1" customWidth="1"/>
    <col min="535" max="535" width="23.7265625" bestFit="1" customWidth="1"/>
    <col min="536" max="536" width="14.1796875" bestFit="1" customWidth="1"/>
    <col min="537" max="537" width="23.7265625" bestFit="1" customWidth="1"/>
    <col min="538" max="538" width="14.1796875" bestFit="1" customWidth="1"/>
    <col min="539" max="539" width="23.7265625" bestFit="1" customWidth="1"/>
    <col min="540" max="540" width="14.1796875" bestFit="1" customWidth="1"/>
    <col min="541" max="541" width="23.7265625" bestFit="1" customWidth="1"/>
    <col min="542" max="542" width="14.1796875" bestFit="1" customWidth="1"/>
    <col min="543" max="543" width="23.7265625" bestFit="1" customWidth="1"/>
    <col min="544" max="544" width="14.1796875" bestFit="1" customWidth="1"/>
    <col min="545" max="545" width="23.7265625" bestFit="1" customWidth="1"/>
    <col min="546" max="546" width="14.1796875" bestFit="1" customWidth="1"/>
    <col min="547" max="547" width="24.7265625" bestFit="1" customWidth="1"/>
    <col min="548" max="548" width="14.1796875" bestFit="1" customWidth="1"/>
    <col min="549" max="549" width="24.7265625" bestFit="1" customWidth="1"/>
    <col min="550" max="550" width="14.1796875" bestFit="1" customWidth="1"/>
    <col min="551" max="551" width="24.7265625" bestFit="1" customWidth="1"/>
    <col min="552" max="552" width="13.54296875" bestFit="1" customWidth="1"/>
    <col min="553" max="553" width="25.1796875" bestFit="1" customWidth="1"/>
    <col min="554" max="554" width="13.54296875" bestFit="1" customWidth="1"/>
    <col min="555" max="555" width="24.08984375" bestFit="1" customWidth="1"/>
    <col min="556" max="556" width="12.54296875" bestFit="1" customWidth="1"/>
    <col min="557" max="557" width="24.08984375" bestFit="1" customWidth="1"/>
    <col min="558" max="558" width="13.54296875" bestFit="1" customWidth="1"/>
    <col min="559" max="559" width="24.08984375" bestFit="1" customWidth="1"/>
    <col min="560" max="560" width="13.54296875" bestFit="1" customWidth="1"/>
    <col min="561" max="561" width="23.08984375" bestFit="1" customWidth="1"/>
    <col min="562" max="562" width="13.54296875" bestFit="1" customWidth="1"/>
    <col min="563" max="563" width="23.08984375" bestFit="1" customWidth="1"/>
    <col min="564" max="564" width="13.54296875" bestFit="1" customWidth="1"/>
    <col min="565" max="565" width="23.08984375" bestFit="1" customWidth="1"/>
    <col min="566" max="566" width="13.54296875" bestFit="1" customWidth="1"/>
    <col min="567" max="567" width="23.08984375" bestFit="1" customWidth="1"/>
    <col min="568" max="568" width="13.54296875" bestFit="1" customWidth="1"/>
    <col min="569" max="569" width="22.08984375" bestFit="1" customWidth="1"/>
    <col min="570" max="570" width="13.54296875" bestFit="1" customWidth="1"/>
    <col min="571" max="571" width="23.08984375" bestFit="1" customWidth="1"/>
    <col min="572" max="572" width="13.54296875" bestFit="1" customWidth="1"/>
    <col min="573" max="573" width="22.08984375" bestFit="1" customWidth="1"/>
    <col min="574" max="574" width="13.54296875" bestFit="1" customWidth="1"/>
    <col min="575" max="575" width="23.08984375" bestFit="1" customWidth="1"/>
    <col min="576" max="576" width="13.54296875" bestFit="1" customWidth="1"/>
    <col min="577" max="577" width="23.08984375" bestFit="1" customWidth="1"/>
    <col min="578" max="578" width="13.54296875" bestFit="1" customWidth="1"/>
    <col min="579" max="579" width="23.08984375" bestFit="1" customWidth="1"/>
    <col min="580" max="580" width="13.54296875" bestFit="1" customWidth="1"/>
    <col min="581" max="581" width="23.08984375" bestFit="1" customWidth="1"/>
    <col min="582" max="582" width="13.54296875" bestFit="1" customWidth="1"/>
    <col min="583" max="583" width="23.08984375" bestFit="1" customWidth="1"/>
    <col min="584" max="584" width="13.54296875" bestFit="1" customWidth="1"/>
    <col min="585" max="585" width="22.08984375" bestFit="1" customWidth="1"/>
    <col min="586" max="586" width="13.54296875" bestFit="1" customWidth="1"/>
    <col min="587" max="587" width="22.08984375" bestFit="1" customWidth="1"/>
    <col min="588" max="588" width="13.54296875" bestFit="1" customWidth="1"/>
    <col min="589" max="589" width="22.08984375" bestFit="1" customWidth="1"/>
    <col min="590" max="590" width="13.54296875" bestFit="1" customWidth="1"/>
    <col min="591" max="591" width="22.08984375" bestFit="1" customWidth="1"/>
    <col min="592" max="592" width="13.54296875" bestFit="1" customWidth="1"/>
    <col min="593" max="593" width="22.08984375" bestFit="1" customWidth="1"/>
    <col min="594" max="594" width="13.54296875" bestFit="1" customWidth="1"/>
    <col min="595" max="595" width="22.08984375" bestFit="1" customWidth="1"/>
    <col min="596" max="596" width="13.54296875" bestFit="1" customWidth="1"/>
    <col min="597" max="597" width="22.08984375" bestFit="1" customWidth="1"/>
    <col min="598" max="598" width="13.54296875" bestFit="1" customWidth="1"/>
    <col min="599" max="599" width="22.08984375" bestFit="1" customWidth="1"/>
    <col min="600" max="600" width="13.54296875" bestFit="1" customWidth="1"/>
    <col min="601" max="601" width="22.08984375" bestFit="1" customWidth="1"/>
    <col min="602" max="602" width="13.54296875" bestFit="1" customWidth="1"/>
    <col min="603" max="603" width="22.08984375" bestFit="1" customWidth="1"/>
    <col min="604" max="604" width="13.54296875" bestFit="1" customWidth="1"/>
    <col min="605" max="605" width="22.08984375" bestFit="1" customWidth="1"/>
    <col min="606" max="606" width="13.54296875" bestFit="1" customWidth="1"/>
    <col min="607" max="607" width="22.08984375" bestFit="1" customWidth="1"/>
    <col min="608" max="608" width="13.54296875" bestFit="1" customWidth="1"/>
    <col min="609" max="609" width="22.08984375" bestFit="1" customWidth="1"/>
    <col min="610" max="610" width="13.54296875" bestFit="1" customWidth="1"/>
    <col min="611" max="611" width="22.08984375" bestFit="1" customWidth="1"/>
    <col min="612" max="612" width="13.54296875" bestFit="1" customWidth="1"/>
    <col min="613" max="613" width="22.08984375" bestFit="1" customWidth="1"/>
    <col min="614" max="614" width="13.54296875" bestFit="1" customWidth="1"/>
    <col min="615" max="615" width="22.08984375" bestFit="1" customWidth="1"/>
    <col min="616" max="616" width="13.54296875" bestFit="1" customWidth="1"/>
    <col min="617" max="617" width="22.08984375" bestFit="1" customWidth="1"/>
    <col min="618" max="618" width="13.54296875" bestFit="1" customWidth="1"/>
    <col min="619" max="619" width="22.08984375" bestFit="1" customWidth="1"/>
    <col min="620" max="620" width="13.54296875" bestFit="1" customWidth="1"/>
    <col min="621" max="621" width="22.08984375" bestFit="1" customWidth="1"/>
    <col min="622" max="622" width="13.54296875" bestFit="1" customWidth="1"/>
    <col min="623" max="623" width="21.08984375" bestFit="1" customWidth="1"/>
    <col min="624" max="624" width="13.54296875" bestFit="1" customWidth="1"/>
    <col min="625" max="625" width="22.08984375" bestFit="1" customWidth="1"/>
    <col min="626" max="626" width="12.54296875" bestFit="1" customWidth="1"/>
    <col min="627" max="627" width="22.08984375" bestFit="1" customWidth="1"/>
    <col min="628" max="628" width="13.54296875" bestFit="1" customWidth="1"/>
    <col min="629" max="629" width="22.08984375" bestFit="1" customWidth="1"/>
    <col min="630" max="630" width="13.54296875" bestFit="1" customWidth="1"/>
    <col min="631" max="631" width="22.08984375" bestFit="1" customWidth="1"/>
    <col min="632" max="632" width="13.54296875" bestFit="1" customWidth="1"/>
    <col min="633" max="633" width="22.08984375" bestFit="1" customWidth="1"/>
    <col min="634" max="634" width="13.54296875" bestFit="1" customWidth="1"/>
    <col min="635" max="635" width="22.08984375" bestFit="1" customWidth="1"/>
    <col min="636" max="636" width="13.54296875" bestFit="1" customWidth="1"/>
    <col min="637" max="637" width="22.08984375" bestFit="1" customWidth="1"/>
    <col min="638" max="638" width="13.54296875" bestFit="1" customWidth="1"/>
    <col min="639" max="639" width="22.08984375" bestFit="1" customWidth="1"/>
    <col min="640" max="641" width="5.36328125" bestFit="1" customWidth="1"/>
    <col min="642" max="642" width="29.6328125" bestFit="1" customWidth="1"/>
    <col min="643" max="643" width="27.453125" bestFit="1" customWidth="1"/>
    <col min="644" max="644" width="19.26953125" bestFit="1" customWidth="1"/>
    <col min="645" max="645" width="25.1796875" bestFit="1" customWidth="1"/>
  </cols>
  <sheetData>
    <row r="3" spans="1:8" x14ac:dyDescent="0.35">
      <c r="A3" s="9" t="s">
        <v>116</v>
      </c>
      <c r="B3" t="s">
        <v>118</v>
      </c>
      <c r="C3" t="s">
        <v>119</v>
      </c>
      <c r="D3" t="s">
        <v>121</v>
      </c>
      <c r="E3" t="s">
        <v>164</v>
      </c>
      <c r="F3" t="s">
        <v>120</v>
      </c>
      <c r="G3" s="5" t="s">
        <v>122</v>
      </c>
      <c r="H3" s="5" t="s">
        <v>165</v>
      </c>
    </row>
    <row r="4" spans="1:8" x14ac:dyDescent="0.35">
      <c r="A4" s="10">
        <v>2019</v>
      </c>
      <c r="B4" s="4">
        <v>-0.43333333333333329</v>
      </c>
      <c r="C4" s="4">
        <v>1.1691666666666667</v>
      </c>
      <c r="D4" s="4">
        <v>57598.166666666664</v>
      </c>
      <c r="E4" s="4">
        <v>1085005.25</v>
      </c>
      <c r="F4" s="4">
        <v>1.6025</v>
      </c>
    </row>
    <row r="5" spans="1:8" x14ac:dyDescent="0.35">
      <c r="A5" s="10">
        <v>2020</v>
      </c>
      <c r="B5" s="4">
        <v>-0.5</v>
      </c>
      <c r="C5" s="4">
        <v>1.3116666666666668</v>
      </c>
      <c r="D5" s="4">
        <v>52181.833333333336</v>
      </c>
      <c r="E5" s="4">
        <v>1145928.3333333333</v>
      </c>
      <c r="F5" s="4">
        <v>1.8116666666666665</v>
      </c>
      <c r="G5" s="5">
        <v>-9.0393589453415968E-2</v>
      </c>
      <c r="H5" s="5">
        <v>5.6258551013516234E-2</v>
      </c>
    </row>
    <row r="6" spans="1:8" x14ac:dyDescent="0.35">
      <c r="A6" s="10">
        <v>2021</v>
      </c>
      <c r="B6" s="4">
        <v>-0.5</v>
      </c>
      <c r="C6" s="4">
        <v>1.2433333333333334</v>
      </c>
      <c r="D6" s="4">
        <v>50203.583333333336</v>
      </c>
      <c r="E6" s="4">
        <v>1182474.6666666667</v>
      </c>
      <c r="F6" s="4">
        <v>1.7433333333333332</v>
      </c>
      <c r="G6" s="5">
        <v>-3.6255638776494181E-2</v>
      </c>
      <c r="H6" s="5">
        <v>3.1984771551793988E-2</v>
      </c>
    </row>
    <row r="7" spans="1:8" x14ac:dyDescent="0.35">
      <c r="A7" s="10">
        <v>2022</v>
      </c>
      <c r="B7" s="4">
        <v>0.16666666666666666</v>
      </c>
      <c r="C7" s="4">
        <v>2.165</v>
      </c>
      <c r="D7" s="4">
        <v>63466.916666666664</v>
      </c>
      <c r="E7" s="4">
        <v>1292665.0833333333</v>
      </c>
      <c r="F7" s="4">
        <v>1.9983333333333333</v>
      </c>
      <c r="G7" s="5">
        <v>0.29726846270622842</v>
      </c>
      <c r="H7" s="5">
        <v>9.2934576797795709E-2</v>
      </c>
    </row>
    <row r="8" spans="1:8" x14ac:dyDescent="0.35">
      <c r="A8" s="10">
        <v>2023</v>
      </c>
      <c r="B8" s="4">
        <v>3.375</v>
      </c>
      <c r="C8" s="4">
        <v>4.7408333333333346</v>
      </c>
      <c r="D8" s="4">
        <v>60479.333333333336</v>
      </c>
      <c r="E8" s="4">
        <v>1353313.6666666667</v>
      </c>
      <c r="F8" s="4">
        <v>1.3658333333333335</v>
      </c>
      <c r="G8" s="5">
        <v>-1.8137550929289075E-2</v>
      </c>
      <c r="H8" s="5">
        <v>4.81349553518172E-2</v>
      </c>
    </row>
    <row r="9" spans="1:8" x14ac:dyDescent="0.35">
      <c r="A9" s="10">
        <v>2024</v>
      </c>
      <c r="B9" s="4">
        <v>3.6875</v>
      </c>
      <c r="C9" s="4">
        <v>4.8466666666666667</v>
      </c>
      <c r="D9" s="4">
        <v>63363.833333333336</v>
      </c>
      <c r="E9" s="4">
        <v>1361223.9166666667</v>
      </c>
      <c r="F9" s="4">
        <v>1.1591666666666669</v>
      </c>
      <c r="G9" s="5">
        <v>5.8970280735708036E-2</v>
      </c>
      <c r="H9" s="5">
        <v>5.8600027948883899E-3</v>
      </c>
    </row>
    <row r="10" spans="1:8" x14ac:dyDescent="0.35">
      <c r="A10" s="10">
        <v>2025</v>
      </c>
      <c r="B10" s="4">
        <v>2.2291666666666665</v>
      </c>
      <c r="C10" s="4">
        <v>3.4966666666666666</v>
      </c>
      <c r="D10" s="4">
        <v>73314.75</v>
      </c>
      <c r="E10" s="4">
        <v>1371515.6666666667</v>
      </c>
      <c r="F10" s="4">
        <v>1.2675000000000001</v>
      </c>
      <c r="G10" s="5">
        <v>0.15721586806549456</v>
      </c>
      <c r="H10" s="5">
        <v>7.5607593754906484E-3</v>
      </c>
    </row>
    <row r="11" spans="1:8" x14ac:dyDescent="0.35">
      <c r="A11" s="10">
        <v>2026</v>
      </c>
      <c r="B11" s="4">
        <v>2.0714285714285716</v>
      </c>
      <c r="C11" s="4">
        <v>3.4942857142857142</v>
      </c>
      <c r="D11" s="4">
        <v>74143.428571428565</v>
      </c>
      <c r="E11" s="4">
        <v>1372919.4285714286</v>
      </c>
      <c r="F11" s="4">
        <v>1.422857142857143</v>
      </c>
      <c r="G11" s="5">
        <v>6.7342726008022755E-2</v>
      </c>
      <c r="H11" s="5">
        <v>2.6832007877306075E-3</v>
      </c>
    </row>
    <row r="12" spans="1:8" hidden="1" x14ac:dyDescent="0.35">
      <c r="A12" s="10" t="s">
        <v>117</v>
      </c>
      <c r="B12" s="4">
        <v>1.2175824175824175</v>
      </c>
      <c r="C12" s="4">
        <v>2.77076923076923</v>
      </c>
      <c r="D12" s="4">
        <v>61168.18681318681</v>
      </c>
      <c r="E12" s="4">
        <v>1265010.4945054946</v>
      </c>
      <c r="F12" s="4">
        <v>1.5531868131868123</v>
      </c>
      <c r="G12" s="5">
        <v>6.1967254053606834E-2</v>
      </c>
      <c r="H12" s="5">
        <v>3.7108681115667598E-2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AB322-EEA8-4717-AF57-17BFF0E7BBF4}">
  <sheetPr codeName="Sheet7"/>
  <dimension ref="A1:E2808"/>
  <sheetViews>
    <sheetView workbookViewId="0">
      <selection activeCell="H12" sqref="H12"/>
    </sheetView>
  </sheetViews>
  <sheetFormatPr defaultRowHeight="14.5" x14ac:dyDescent="0.35"/>
  <cols>
    <col min="1" max="1" width="10.08984375" bestFit="1" customWidth="1"/>
    <col min="2" max="2" width="13.453125" customWidth="1"/>
    <col min="3" max="3" width="13.81640625" customWidth="1"/>
    <col min="4" max="4" width="21.26953125" customWidth="1"/>
    <col min="5" max="5" width="24.3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43466</v>
      </c>
      <c r="B2" s="2">
        <v>43466</v>
      </c>
      <c r="C2">
        <v>-0.4</v>
      </c>
      <c r="D2">
        <v>0.25</v>
      </c>
      <c r="E2" s="4">
        <v>0</v>
      </c>
    </row>
    <row r="3" spans="1:5" x14ac:dyDescent="0.35">
      <c r="A3" s="1">
        <v>43467</v>
      </c>
      <c r="B3" s="2">
        <v>43467</v>
      </c>
      <c r="C3">
        <v>-0.4</v>
      </c>
      <c r="D3">
        <v>0.25</v>
      </c>
      <c r="E3" s="4">
        <v>0</v>
      </c>
    </row>
    <row r="4" spans="1:5" x14ac:dyDescent="0.35">
      <c r="A4" s="1">
        <v>43468</v>
      </c>
      <c r="B4" s="2">
        <v>43468</v>
      </c>
      <c r="C4">
        <v>-0.4</v>
      </c>
      <c r="D4">
        <v>0.25</v>
      </c>
      <c r="E4" s="4">
        <v>0</v>
      </c>
    </row>
    <row r="5" spans="1:5" x14ac:dyDescent="0.35">
      <c r="A5" s="1">
        <v>43469</v>
      </c>
      <c r="B5" s="2">
        <v>43469</v>
      </c>
      <c r="C5">
        <v>-0.4</v>
      </c>
      <c r="D5">
        <v>0.25</v>
      </c>
      <c r="E5" s="4">
        <v>0</v>
      </c>
    </row>
    <row r="6" spans="1:5" x14ac:dyDescent="0.35">
      <c r="A6" s="1">
        <v>43470</v>
      </c>
      <c r="B6" s="2">
        <v>43470</v>
      </c>
      <c r="C6">
        <v>-0.4</v>
      </c>
      <c r="D6">
        <v>0.25</v>
      </c>
      <c r="E6" s="4">
        <v>0</v>
      </c>
    </row>
    <row r="7" spans="1:5" x14ac:dyDescent="0.35">
      <c r="A7" s="1">
        <v>43471</v>
      </c>
      <c r="B7" s="2">
        <v>43471</v>
      </c>
      <c r="C7">
        <v>-0.4</v>
      </c>
      <c r="D7">
        <v>0.25</v>
      </c>
      <c r="E7" s="4">
        <v>0</v>
      </c>
    </row>
    <row r="8" spans="1:5" x14ac:dyDescent="0.35">
      <c r="A8" s="1">
        <v>43472</v>
      </c>
      <c r="B8" s="2">
        <v>43472</v>
      </c>
      <c r="C8">
        <v>-0.4</v>
      </c>
      <c r="D8">
        <v>0.25</v>
      </c>
      <c r="E8" s="4">
        <v>0</v>
      </c>
    </row>
    <row r="9" spans="1:5" x14ac:dyDescent="0.35">
      <c r="A9" s="1">
        <v>43473</v>
      </c>
      <c r="B9" s="2">
        <v>43473</v>
      </c>
      <c r="C9">
        <v>-0.4</v>
      </c>
      <c r="D9">
        <v>0.25</v>
      </c>
      <c r="E9" s="4">
        <v>0</v>
      </c>
    </row>
    <row r="10" spans="1:5" x14ac:dyDescent="0.35">
      <c r="A10" s="1">
        <v>43474</v>
      </c>
      <c r="B10" s="2">
        <v>43474</v>
      </c>
      <c r="C10">
        <v>-0.4</v>
      </c>
      <c r="D10">
        <v>0.25</v>
      </c>
      <c r="E10" s="4">
        <v>0</v>
      </c>
    </row>
    <row r="11" spans="1:5" x14ac:dyDescent="0.35">
      <c r="A11" s="1">
        <v>43475</v>
      </c>
      <c r="B11" s="2">
        <v>43475</v>
      </c>
      <c r="C11">
        <v>-0.4</v>
      </c>
      <c r="D11">
        <v>0.25</v>
      </c>
      <c r="E11" s="4">
        <v>0</v>
      </c>
    </row>
    <row r="12" spans="1:5" x14ac:dyDescent="0.35">
      <c r="A12" s="1">
        <v>43476</v>
      </c>
      <c r="B12" s="2">
        <v>43476</v>
      </c>
      <c r="C12">
        <v>-0.4</v>
      </c>
      <c r="D12">
        <v>0.25</v>
      </c>
      <c r="E12" s="4">
        <v>0</v>
      </c>
    </row>
    <row r="13" spans="1:5" x14ac:dyDescent="0.35">
      <c r="A13" s="1">
        <v>43477</v>
      </c>
      <c r="B13" s="2">
        <v>43477</v>
      </c>
      <c r="C13">
        <v>-0.4</v>
      </c>
      <c r="D13">
        <v>0.25</v>
      </c>
      <c r="E13" s="4">
        <v>0</v>
      </c>
    </row>
    <row r="14" spans="1:5" x14ac:dyDescent="0.35">
      <c r="A14" s="1">
        <v>43478</v>
      </c>
      <c r="B14" s="2">
        <v>43478</v>
      </c>
      <c r="C14">
        <v>-0.4</v>
      </c>
      <c r="D14">
        <v>0.25</v>
      </c>
      <c r="E14" s="4">
        <v>0</v>
      </c>
    </row>
    <row r="15" spans="1:5" x14ac:dyDescent="0.35">
      <c r="A15" s="1">
        <v>43479</v>
      </c>
      <c r="B15" s="2">
        <v>43479</v>
      </c>
      <c r="C15">
        <v>-0.4</v>
      </c>
      <c r="D15">
        <v>0.25</v>
      </c>
      <c r="E15" s="4">
        <v>0</v>
      </c>
    </row>
    <row r="16" spans="1:5" x14ac:dyDescent="0.35">
      <c r="A16" s="1">
        <v>43480</v>
      </c>
      <c r="B16" s="2">
        <v>43480</v>
      </c>
      <c r="C16">
        <v>-0.4</v>
      </c>
      <c r="D16">
        <v>0.25</v>
      </c>
      <c r="E16" s="4">
        <v>0</v>
      </c>
    </row>
    <row r="17" spans="1:5" x14ac:dyDescent="0.35">
      <c r="A17" s="1">
        <v>43481</v>
      </c>
      <c r="B17" s="2">
        <v>43481</v>
      </c>
      <c r="C17">
        <v>-0.4</v>
      </c>
      <c r="D17">
        <v>0.25</v>
      </c>
      <c r="E17" s="4">
        <v>0</v>
      </c>
    </row>
    <row r="18" spans="1:5" x14ac:dyDescent="0.35">
      <c r="A18" s="1">
        <v>43482</v>
      </c>
      <c r="B18" s="2">
        <v>43482</v>
      </c>
      <c r="C18">
        <v>-0.4</v>
      </c>
      <c r="D18">
        <v>0.25</v>
      </c>
      <c r="E18" s="4">
        <v>0</v>
      </c>
    </row>
    <row r="19" spans="1:5" x14ac:dyDescent="0.35">
      <c r="A19" s="1">
        <v>43483</v>
      </c>
      <c r="B19" s="2">
        <v>43483</v>
      </c>
      <c r="C19">
        <v>-0.4</v>
      </c>
      <c r="D19">
        <v>0.25</v>
      </c>
      <c r="E19" s="4">
        <v>0</v>
      </c>
    </row>
    <row r="20" spans="1:5" x14ac:dyDescent="0.35">
      <c r="A20" s="1">
        <v>43484</v>
      </c>
      <c r="B20" s="2">
        <v>43484</v>
      </c>
      <c r="C20">
        <v>-0.4</v>
      </c>
      <c r="D20">
        <v>0.25</v>
      </c>
      <c r="E20" s="4">
        <v>0</v>
      </c>
    </row>
    <row r="21" spans="1:5" x14ac:dyDescent="0.35">
      <c r="A21" s="1">
        <v>43485</v>
      </c>
      <c r="B21" s="2">
        <v>43485</v>
      </c>
      <c r="C21">
        <v>-0.4</v>
      </c>
      <c r="D21">
        <v>0.25</v>
      </c>
      <c r="E21" s="4">
        <v>0</v>
      </c>
    </row>
    <row r="22" spans="1:5" x14ac:dyDescent="0.35">
      <c r="A22" s="1">
        <v>43486</v>
      </c>
      <c r="B22" s="2">
        <v>43486</v>
      </c>
      <c r="C22">
        <v>-0.4</v>
      </c>
      <c r="D22">
        <v>0.25</v>
      </c>
      <c r="E22" s="4">
        <v>0</v>
      </c>
    </row>
    <row r="23" spans="1:5" x14ac:dyDescent="0.35">
      <c r="A23" s="1">
        <v>43487</v>
      </c>
      <c r="B23" s="2">
        <v>43487</v>
      </c>
      <c r="C23">
        <v>-0.4</v>
      </c>
      <c r="D23">
        <v>0.25</v>
      </c>
      <c r="E23" s="4">
        <v>0</v>
      </c>
    </row>
    <row r="24" spans="1:5" x14ac:dyDescent="0.35">
      <c r="A24" s="1">
        <v>43488</v>
      </c>
      <c r="B24" s="2">
        <v>43488</v>
      </c>
      <c r="C24">
        <v>-0.4</v>
      </c>
      <c r="D24">
        <v>0.25</v>
      </c>
      <c r="E24" s="4">
        <v>0</v>
      </c>
    </row>
    <row r="25" spans="1:5" x14ac:dyDescent="0.35">
      <c r="A25" s="1">
        <v>43489</v>
      </c>
      <c r="B25" s="2">
        <v>43489</v>
      </c>
      <c r="C25">
        <v>-0.4</v>
      </c>
      <c r="D25">
        <v>0.25</v>
      </c>
      <c r="E25" s="4">
        <v>0</v>
      </c>
    </row>
    <row r="26" spans="1:5" x14ac:dyDescent="0.35">
      <c r="A26" s="1">
        <v>43490</v>
      </c>
      <c r="B26" s="2">
        <v>43490</v>
      </c>
      <c r="C26">
        <v>-0.4</v>
      </c>
      <c r="D26">
        <v>0.25</v>
      </c>
      <c r="E26" s="4">
        <v>0</v>
      </c>
    </row>
    <row r="27" spans="1:5" x14ac:dyDescent="0.35">
      <c r="A27" s="1">
        <v>43491</v>
      </c>
      <c r="B27" s="2">
        <v>43491</v>
      </c>
      <c r="C27">
        <v>-0.4</v>
      </c>
      <c r="D27">
        <v>0.25</v>
      </c>
      <c r="E27" s="4">
        <v>0</v>
      </c>
    </row>
    <row r="28" spans="1:5" x14ac:dyDescent="0.35">
      <c r="A28" s="1">
        <v>43492</v>
      </c>
      <c r="B28" s="2">
        <v>43492</v>
      </c>
      <c r="C28">
        <v>-0.4</v>
      </c>
      <c r="D28">
        <v>0.25</v>
      </c>
      <c r="E28" s="4">
        <v>0</v>
      </c>
    </row>
    <row r="29" spans="1:5" x14ac:dyDescent="0.35">
      <c r="A29" s="1">
        <v>43493</v>
      </c>
      <c r="B29" s="2">
        <v>43493</v>
      </c>
      <c r="C29">
        <v>-0.4</v>
      </c>
      <c r="D29">
        <v>0.25</v>
      </c>
      <c r="E29" s="4">
        <v>0</v>
      </c>
    </row>
    <row r="30" spans="1:5" x14ac:dyDescent="0.35">
      <c r="A30" s="1">
        <v>43494</v>
      </c>
      <c r="B30" s="2">
        <v>43494</v>
      </c>
      <c r="C30">
        <v>-0.4</v>
      </c>
      <c r="D30">
        <v>0.25</v>
      </c>
      <c r="E30" s="4">
        <v>0</v>
      </c>
    </row>
    <row r="31" spans="1:5" x14ac:dyDescent="0.35">
      <c r="A31" s="1">
        <v>43495</v>
      </c>
      <c r="B31" s="2">
        <v>43495</v>
      </c>
      <c r="C31">
        <v>-0.4</v>
      </c>
      <c r="D31">
        <v>0.25</v>
      </c>
      <c r="E31" s="4">
        <v>0</v>
      </c>
    </row>
    <row r="32" spans="1:5" x14ac:dyDescent="0.35">
      <c r="A32" s="1">
        <v>43496</v>
      </c>
      <c r="B32" s="2">
        <v>43496</v>
      </c>
      <c r="C32">
        <v>-0.4</v>
      </c>
      <c r="D32">
        <v>0.25</v>
      </c>
      <c r="E32" s="4">
        <v>0</v>
      </c>
    </row>
    <row r="33" spans="1:5" x14ac:dyDescent="0.35">
      <c r="A33" s="1">
        <v>43497</v>
      </c>
      <c r="B33" s="2">
        <v>43497</v>
      </c>
      <c r="C33">
        <v>-0.4</v>
      </c>
      <c r="D33">
        <v>0.25</v>
      </c>
      <c r="E33" s="4">
        <v>0</v>
      </c>
    </row>
    <row r="34" spans="1:5" x14ac:dyDescent="0.35">
      <c r="A34" s="1">
        <v>43498</v>
      </c>
      <c r="B34" s="2">
        <v>43498</v>
      </c>
      <c r="C34">
        <v>-0.4</v>
      </c>
      <c r="D34">
        <v>0.25</v>
      </c>
      <c r="E34" s="4">
        <v>0</v>
      </c>
    </row>
    <row r="35" spans="1:5" x14ac:dyDescent="0.35">
      <c r="A35" s="1">
        <v>43499</v>
      </c>
      <c r="B35" s="2">
        <v>43499</v>
      </c>
      <c r="C35">
        <v>-0.4</v>
      </c>
      <c r="D35">
        <v>0.25</v>
      </c>
      <c r="E35" s="4">
        <v>0</v>
      </c>
    </row>
    <row r="36" spans="1:5" x14ac:dyDescent="0.35">
      <c r="A36" s="1">
        <v>43500</v>
      </c>
      <c r="B36" s="2">
        <v>43500</v>
      </c>
      <c r="C36">
        <v>-0.4</v>
      </c>
      <c r="D36">
        <v>0.25</v>
      </c>
      <c r="E36" s="4">
        <v>0</v>
      </c>
    </row>
    <row r="37" spans="1:5" x14ac:dyDescent="0.35">
      <c r="A37" s="1">
        <v>43501</v>
      </c>
      <c r="B37" s="2">
        <v>43501</v>
      </c>
      <c r="C37">
        <v>-0.4</v>
      </c>
      <c r="D37">
        <v>0.25</v>
      </c>
      <c r="E37" s="4">
        <v>0</v>
      </c>
    </row>
    <row r="38" spans="1:5" x14ac:dyDescent="0.35">
      <c r="A38" s="1">
        <v>43502</v>
      </c>
      <c r="B38" s="2">
        <v>43502</v>
      </c>
      <c r="C38">
        <v>-0.4</v>
      </c>
      <c r="D38">
        <v>0.25</v>
      </c>
      <c r="E38" s="4">
        <v>0</v>
      </c>
    </row>
    <row r="39" spans="1:5" x14ac:dyDescent="0.35">
      <c r="A39" s="1">
        <v>43503</v>
      </c>
      <c r="B39" s="2">
        <v>43503</v>
      </c>
      <c r="C39">
        <v>-0.4</v>
      </c>
      <c r="D39">
        <v>0.25</v>
      </c>
      <c r="E39" s="4">
        <v>0</v>
      </c>
    </row>
    <row r="40" spans="1:5" x14ac:dyDescent="0.35">
      <c r="A40" s="1">
        <v>43504</v>
      </c>
      <c r="B40" s="2">
        <v>43504</v>
      </c>
      <c r="C40">
        <v>-0.4</v>
      </c>
      <c r="D40">
        <v>0.25</v>
      </c>
      <c r="E40" s="4">
        <v>0</v>
      </c>
    </row>
    <row r="41" spans="1:5" x14ac:dyDescent="0.35">
      <c r="A41" s="1">
        <v>43505</v>
      </c>
      <c r="B41" s="2">
        <v>43505</v>
      </c>
      <c r="C41">
        <v>-0.4</v>
      </c>
      <c r="D41">
        <v>0.25</v>
      </c>
      <c r="E41" s="4">
        <v>0</v>
      </c>
    </row>
    <row r="42" spans="1:5" x14ac:dyDescent="0.35">
      <c r="A42" s="1">
        <v>43506</v>
      </c>
      <c r="B42" s="2">
        <v>43506</v>
      </c>
      <c r="C42">
        <v>-0.4</v>
      </c>
      <c r="D42">
        <v>0.25</v>
      </c>
      <c r="E42" s="4">
        <v>0</v>
      </c>
    </row>
    <row r="43" spans="1:5" x14ac:dyDescent="0.35">
      <c r="A43" s="1">
        <v>43507</v>
      </c>
      <c r="B43" s="2">
        <v>43507</v>
      </c>
      <c r="C43">
        <v>-0.4</v>
      </c>
      <c r="D43">
        <v>0.25</v>
      </c>
      <c r="E43" s="4">
        <v>0</v>
      </c>
    </row>
    <row r="44" spans="1:5" x14ac:dyDescent="0.35">
      <c r="A44" s="1">
        <v>43508</v>
      </c>
      <c r="B44" s="2">
        <v>43508</v>
      </c>
      <c r="C44">
        <v>-0.4</v>
      </c>
      <c r="D44">
        <v>0.25</v>
      </c>
      <c r="E44" s="4">
        <v>0</v>
      </c>
    </row>
    <row r="45" spans="1:5" x14ac:dyDescent="0.35">
      <c r="A45" s="1">
        <v>43509</v>
      </c>
      <c r="B45" s="2">
        <v>43509</v>
      </c>
      <c r="C45">
        <v>-0.4</v>
      </c>
      <c r="D45">
        <v>0.25</v>
      </c>
      <c r="E45" s="4">
        <v>0</v>
      </c>
    </row>
    <row r="46" spans="1:5" x14ac:dyDescent="0.35">
      <c r="A46" s="1">
        <v>43510</v>
      </c>
      <c r="B46" s="2">
        <v>43510</v>
      </c>
      <c r="C46">
        <v>-0.4</v>
      </c>
      <c r="D46">
        <v>0.25</v>
      </c>
      <c r="E46" s="4">
        <v>0</v>
      </c>
    </row>
    <row r="47" spans="1:5" x14ac:dyDescent="0.35">
      <c r="A47" s="1">
        <v>43511</v>
      </c>
      <c r="B47" s="2">
        <v>43511</v>
      </c>
      <c r="C47">
        <v>-0.4</v>
      </c>
      <c r="D47">
        <v>0.25</v>
      </c>
      <c r="E47" s="4">
        <v>0</v>
      </c>
    </row>
    <row r="48" spans="1:5" x14ac:dyDescent="0.35">
      <c r="A48" s="1">
        <v>43512</v>
      </c>
      <c r="B48" s="2">
        <v>43512</v>
      </c>
      <c r="C48">
        <v>-0.4</v>
      </c>
      <c r="D48">
        <v>0.25</v>
      </c>
      <c r="E48" s="4">
        <v>0</v>
      </c>
    </row>
    <row r="49" spans="1:5" x14ac:dyDescent="0.35">
      <c r="A49" s="1">
        <v>43513</v>
      </c>
      <c r="B49" s="2">
        <v>43513</v>
      </c>
      <c r="C49">
        <v>-0.4</v>
      </c>
      <c r="D49">
        <v>0.25</v>
      </c>
      <c r="E49" s="4">
        <v>0</v>
      </c>
    </row>
    <row r="50" spans="1:5" x14ac:dyDescent="0.35">
      <c r="A50" s="1">
        <v>43514</v>
      </c>
      <c r="B50" s="2">
        <v>43514</v>
      </c>
      <c r="C50">
        <v>-0.4</v>
      </c>
      <c r="D50">
        <v>0.25</v>
      </c>
      <c r="E50" s="4">
        <v>0</v>
      </c>
    </row>
    <row r="51" spans="1:5" x14ac:dyDescent="0.35">
      <c r="A51" s="1">
        <v>43515</v>
      </c>
      <c r="B51" s="2">
        <v>43515</v>
      </c>
      <c r="C51">
        <v>-0.4</v>
      </c>
      <c r="D51">
        <v>0.25</v>
      </c>
      <c r="E51" s="4">
        <v>0</v>
      </c>
    </row>
    <row r="52" spans="1:5" x14ac:dyDescent="0.35">
      <c r="A52" s="1">
        <v>43516</v>
      </c>
      <c r="B52" s="2">
        <v>43516</v>
      </c>
      <c r="C52">
        <v>-0.4</v>
      </c>
      <c r="D52">
        <v>0.25</v>
      </c>
      <c r="E52" s="4">
        <v>0</v>
      </c>
    </row>
    <row r="53" spans="1:5" x14ac:dyDescent="0.35">
      <c r="A53" s="1">
        <v>43517</v>
      </c>
      <c r="B53" s="2">
        <v>43517</v>
      </c>
      <c r="C53">
        <v>-0.4</v>
      </c>
      <c r="D53">
        <v>0.25</v>
      </c>
      <c r="E53" s="4">
        <v>0</v>
      </c>
    </row>
    <row r="54" spans="1:5" x14ac:dyDescent="0.35">
      <c r="A54" s="1">
        <v>43518</v>
      </c>
      <c r="B54" s="2">
        <v>43518</v>
      </c>
      <c r="C54">
        <v>-0.4</v>
      </c>
      <c r="D54">
        <v>0.25</v>
      </c>
      <c r="E54" s="4">
        <v>0</v>
      </c>
    </row>
    <row r="55" spans="1:5" x14ac:dyDescent="0.35">
      <c r="A55" s="1">
        <v>43519</v>
      </c>
      <c r="B55" s="2">
        <v>43519</v>
      </c>
      <c r="C55">
        <v>-0.4</v>
      </c>
      <c r="D55">
        <v>0.25</v>
      </c>
      <c r="E55" s="4">
        <v>0</v>
      </c>
    </row>
    <row r="56" spans="1:5" x14ac:dyDescent="0.35">
      <c r="A56" s="1">
        <v>43520</v>
      </c>
      <c r="B56" s="2">
        <v>43520</v>
      </c>
      <c r="C56">
        <v>-0.4</v>
      </c>
      <c r="D56">
        <v>0.25</v>
      </c>
      <c r="E56" s="4">
        <v>0</v>
      </c>
    </row>
    <row r="57" spans="1:5" x14ac:dyDescent="0.35">
      <c r="A57" s="1">
        <v>43521</v>
      </c>
      <c r="B57" s="2">
        <v>43521</v>
      </c>
      <c r="C57">
        <v>-0.4</v>
      </c>
      <c r="D57">
        <v>0.25</v>
      </c>
      <c r="E57" s="4">
        <v>0</v>
      </c>
    </row>
    <row r="58" spans="1:5" x14ac:dyDescent="0.35">
      <c r="A58" s="1">
        <v>43522</v>
      </c>
      <c r="B58" s="2">
        <v>43522</v>
      </c>
      <c r="C58">
        <v>-0.4</v>
      </c>
      <c r="D58">
        <v>0.25</v>
      </c>
      <c r="E58" s="4">
        <v>0</v>
      </c>
    </row>
    <row r="59" spans="1:5" x14ac:dyDescent="0.35">
      <c r="A59" s="1">
        <v>43523</v>
      </c>
      <c r="B59" s="2">
        <v>43523</v>
      </c>
      <c r="C59">
        <v>-0.4</v>
      </c>
      <c r="D59">
        <v>0.25</v>
      </c>
      <c r="E59" s="4">
        <v>0</v>
      </c>
    </row>
    <row r="60" spans="1:5" x14ac:dyDescent="0.35">
      <c r="A60" s="1">
        <v>43524</v>
      </c>
      <c r="B60" s="2">
        <v>43524</v>
      </c>
      <c r="C60">
        <v>-0.4</v>
      </c>
      <c r="D60">
        <v>0.25</v>
      </c>
      <c r="E60" s="4">
        <v>0</v>
      </c>
    </row>
    <row r="61" spans="1:5" x14ac:dyDescent="0.35">
      <c r="A61" s="1">
        <v>43525</v>
      </c>
      <c r="B61" s="2">
        <v>43525</v>
      </c>
      <c r="C61">
        <v>-0.4</v>
      </c>
      <c r="D61">
        <v>0.25</v>
      </c>
      <c r="E61" s="4">
        <v>0</v>
      </c>
    </row>
    <row r="62" spans="1:5" x14ac:dyDescent="0.35">
      <c r="A62" s="1">
        <v>43526</v>
      </c>
      <c r="B62" s="2">
        <v>43526</v>
      </c>
      <c r="C62">
        <v>-0.4</v>
      </c>
      <c r="D62">
        <v>0.25</v>
      </c>
      <c r="E62" s="4">
        <v>0</v>
      </c>
    </row>
    <row r="63" spans="1:5" x14ac:dyDescent="0.35">
      <c r="A63" s="1">
        <v>43527</v>
      </c>
      <c r="B63" s="2">
        <v>43527</v>
      </c>
      <c r="C63">
        <v>-0.4</v>
      </c>
      <c r="D63">
        <v>0.25</v>
      </c>
      <c r="E63" s="4">
        <v>0</v>
      </c>
    </row>
    <row r="64" spans="1:5" x14ac:dyDescent="0.35">
      <c r="A64" s="1">
        <v>43528</v>
      </c>
      <c r="B64" s="2">
        <v>43528</v>
      </c>
      <c r="C64">
        <v>-0.4</v>
      </c>
      <c r="D64">
        <v>0.25</v>
      </c>
      <c r="E64" s="4">
        <v>0</v>
      </c>
    </row>
    <row r="65" spans="1:5" x14ac:dyDescent="0.35">
      <c r="A65" s="1">
        <v>43529</v>
      </c>
      <c r="B65" s="2">
        <v>43529</v>
      </c>
      <c r="C65">
        <v>-0.4</v>
      </c>
      <c r="D65">
        <v>0.25</v>
      </c>
      <c r="E65" s="4">
        <v>0</v>
      </c>
    </row>
    <row r="66" spans="1:5" x14ac:dyDescent="0.35">
      <c r="A66" s="1">
        <v>43530</v>
      </c>
      <c r="B66" s="2">
        <v>43530</v>
      </c>
      <c r="C66">
        <v>-0.4</v>
      </c>
      <c r="D66">
        <v>0.25</v>
      </c>
      <c r="E66" s="4">
        <v>0</v>
      </c>
    </row>
    <row r="67" spans="1:5" x14ac:dyDescent="0.35">
      <c r="A67" s="1">
        <v>43531</v>
      </c>
      <c r="B67" s="2">
        <v>43531</v>
      </c>
      <c r="C67">
        <v>-0.4</v>
      </c>
      <c r="D67">
        <v>0.25</v>
      </c>
      <c r="E67" s="4">
        <v>0</v>
      </c>
    </row>
    <row r="68" spans="1:5" x14ac:dyDescent="0.35">
      <c r="A68" s="1">
        <v>43532</v>
      </c>
      <c r="B68" s="2">
        <v>43532</v>
      </c>
      <c r="C68">
        <v>-0.4</v>
      </c>
      <c r="D68">
        <v>0.25</v>
      </c>
      <c r="E68" s="4">
        <v>0</v>
      </c>
    </row>
    <row r="69" spans="1:5" x14ac:dyDescent="0.35">
      <c r="A69" s="1">
        <v>43533</v>
      </c>
      <c r="B69" s="2">
        <v>43533</v>
      </c>
      <c r="C69">
        <v>-0.4</v>
      </c>
      <c r="D69">
        <v>0.25</v>
      </c>
      <c r="E69" s="4">
        <v>0</v>
      </c>
    </row>
    <row r="70" spans="1:5" x14ac:dyDescent="0.35">
      <c r="A70" s="1">
        <v>43534</v>
      </c>
      <c r="B70" s="2">
        <v>43534</v>
      </c>
      <c r="C70">
        <v>-0.4</v>
      </c>
      <c r="D70">
        <v>0.25</v>
      </c>
      <c r="E70" s="4">
        <v>0</v>
      </c>
    </row>
    <row r="71" spans="1:5" x14ac:dyDescent="0.35">
      <c r="A71" s="1">
        <v>43535</v>
      </c>
      <c r="B71" s="2">
        <v>43535</v>
      </c>
      <c r="C71">
        <v>-0.4</v>
      </c>
      <c r="D71">
        <v>0.25</v>
      </c>
      <c r="E71" s="4">
        <v>0</v>
      </c>
    </row>
    <row r="72" spans="1:5" x14ac:dyDescent="0.35">
      <c r="A72" s="1">
        <v>43536</v>
      </c>
      <c r="B72" s="2">
        <v>43536</v>
      </c>
      <c r="C72">
        <v>-0.4</v>
      </c>
      <c r="D72">
        <v>0.25</v>
      </c>
      <c r="E72" s="4">
        <v>0</v>
      </c>
    </row>
    <row r="73" spans="1:5" x14ac:dyDescent="0.35">
      <c r="A73" s="1">
        <v>43537</v>
      </c>
      <c r="B73" s="2">
        <v>43537</v>
      </c>
      <c r="C73">
        <v>-0.4</v>
      </c>
      <c r="D73">
        <v>0.25</v>
      </c>
      <c r="E73" s="4">
        <v>0</v>
      </c>
    </row>
    <row r="74" spans="1:5" x14ac:dyDescent="0.35">
      <c r="A74" s="1">
        <v>43538</v>
      </c>
      <c r="B74" s="2">
        <v>43538</v>
      </c>
      <c r="C74">
        <v>-0.4</v>
      </c>
      <c r="D74">
        <v>0.25</v>
      </c>
      <c r="E74" s="4">
        <v>0</v>
      </c>
    </row>
    <row r="75" spans="1:5" x14ac:dyDescent="0.35">
      <c r="A75" s="1">
        <v>43539</v>
      </c>
      <c r="B75" s="2">
        <v>43539</v>
      </c>
      <c r="C75">
        <v>-0.4</v>
      </c>
      <c r="D75">
        <v>0.25</v>
      </c>
      <c r="E75" s="4">
        <v>0</v>
      </c>
    </row>
    <row r="76" spans="1:5" x14ac:dyDescent="0.35">
      <c r="A76" s="1">
        <v>43540</v>
      </c>
      <c r="B76" s="2">
        <v>43540</v>
      </c>
      <c r="C76">
        <v>-0.4</v>
      </c>
      <c r="D76">
        <v>0.25</v>
      </c>
      <c r="E76" s="4">
        <v>0</v>
      </c>
    </row>
    <row r="77" spans="1:5" x14ac:dyDescent="0.35">
      <c r="A77" s="1">
        <v>43541</v>
      </c>
      <c r="B77" s="2">
        <v>43541</v>
      </c>
      <c r="C77">
        <v>-0.4</v>
      </c>
      <c r="D77">
        <v>0.25</v>
      </c>
      <c r="E77" s="4">
        <v>0</v>
      </c>
    </row>
    <row r="78" spans="1:5" x14ac:dyDescent="0.35">
      <c r="A78" s="1">
        <v>43542</v>
      </c>
      <c r="B78" s="2">
        <v>43542</v>
      </c>
      <c r="C78">
        <v>-0.4</v>
      </c>
      <c r="D78">
        <v>0.25</v>
      </c>
      <c r="E78" s="4">
        <v>0</v>
      </c>
    </row>
    <row r="79" spans="1:5" x14ac:dyDescent="0.35">
      <c r="A79" s="1">
        <v>43543</v>
      </c>
      <c r="B79" s="2">
        <v>43543</v>
      </c>
      <c r="C79">
        <v>-0.4</v>
      </c>
      <c r="D79">
        <v>0.25</v>
      </c>
      <c r="E79" s="4">
        <v>0</v>
      </c>
    </row>
    <row r="80" spans="1:5" x14ac:dyDescent="0.35">
      <c r="A80" s="1">
        <v>43544</v>
      </c>
      <c r="B80" s="2">
        <v>43544</v>
      </c>
      <c r="C80">
        <v>-0.4</v>
      </c>
      <c r="D80">
        <v>0.25</v>
      </c>
      <c r="E80" s="4">
        <v>0</v>
      </c>
    </row>
    <row r="81" spans="1:5" x14ac:dyDescent="0.35">
      <c r="A81" s="1">
        <v>43545</v>
      </c>
      <c r="B81" s="2">
        <v>43545</v>
      </c>
      <c r="C81">
        <v>-0.4</v>
      </c>
      <c r="D81">
        <v>0.25</v>
      </c>
      <c r="E81" s="4">
        <v>0</v>
      </c>
    </row>
    <row r="82" spans="1:5" x14ac:dyDescent="0.35">
      <c r="A82" s="1">
        <v>43546</v>
      </c>
      <c r="B82" s="2">
        <v>43546</v>
      </c>
      <c r="C82">
        <v>-0.4</v>
      </c>
      <c r="D82">
        <v>0.25</v>
      </c>
      <c r="E82" s="4">
        <v>0</v>
      </c>
    </row>
    <row r="83" spans="1:5" x14ac:dyDescent="0.35">
      <c r="A83" s="1">
        <v>43547</v>
      </c>
      <c r="B83" s="2">
        <v>43547</v>
      </c>
      <c r="C83">
        <v>-0.4</v>
      </c>
      <c r="D83">
        <v>0.25</v>
      </c>
      <c r="E83" s="4">
        <v>0</v>
      </c>
    </row>
    <row r="84" spans="1:5" x14ac:dyDescent="0.35">
      <c r="A84" s="1">
        <v>43548</v>
      </c>
      <c r="B84" s="2">
        <v>43548</v>
      </c>
      <c r="C84">
        <v>-0.4</v>
      </c>
      <c r="D84">
        <v>0.25</v>
      </c>
      <c r="E84" s="4">
        <v>0</v>
      </c>
    </row>
    <row r="85" spans="1:5" x14ac:dyDescent="0.35">
      <c r="A85" s="1">
        <v>43549</v>
      </c>
      <c r="B85" s="2">
        <v>43549</v>
      </c>
      <c r="C85">
        <v>-0.4</v>
      </c>
      <c r="D85">
        <v>0.25</v>
      </c>
      <c r="E85" s="4">
        <v>0</v>
      </c>
    </row>
    <row r="86" spans="1:5" x14ac:dyDescent="0.35">
      <c r="A86" s="1">
        <v>43550</v>
      </c>
      <c r="B86" s="2">
        <v>43550</v>
      </c>
      <c r="C86">
        <v>-0.4</v>
      </c>
      <c r="D86">
        <v>0.25</v>
      </c>
      <c r="E86" s="4">
        <v>0</v>
      </c>
    </row>
    <row r="87" spans="1:5" x14ac:dyDescent="0.35">
      <c r="A87" s="1">
        <v>43551</v>
      </c>
      <c r="B87" s="2">
        <v>43551</v>
      </c>
      <c r="C87">
        <v>-0.4</v>
      </c>
      <c r="D87">
        <v>0.25</v>
      </c>
      <c r="E87" s="4">
        <v>0</v>
      </c>
    </row>
    <row r="88" spans="1:5" x14ac:dyDescent="0.35">
      <c r="A88" s="1">
        <v>43552</v>
      </c>
      <c r="B88" s="2">
        <v>43552</v>
      </c>
      <c r="C88">
        <v>-0.4</v>
      </c>
      <c r="D88">
        <v>0.25</v>
      </c>
      <c r="E88" s="4">
        <v>0</v>
      </c>
    </row>
    <row r="89" spans="1:5" x14ac:dyDescent="0.35">
      <c r="A89" s="1">
        <v>43553</v>
      </c>
      <c r="B89" s="2">
        <v>43553</v>
      </c>
      <c r="C89">
        <v>-0.4</v>
      </c>
      <c r="D89">
        <v>0.25</v>
      </c>
      <c r="E89" s="4">
        <v>0</v>
      </c>
    </row>
    <row r="90" spans="1:5" x14ac:dyDescent="0.35">
      <c r="A90" s="1">
        <v>43554</v>
      </c>
      <c r="B90" s="2">
        <v>43554</v>
      </c>
      <c r="C90">
        <v>-0.4</v>
      </c>
      <c r="D90">
        <v>0.25</v>
      </c>
      <c r="E90" s="4">
        <v>0</v>
      </c>
    </row>
    <row r="91" spans="1:5" x14ac:dyDescent="0.35">
      <c r="A91" s="1">
        <v>43555</v>
      </c>
      <c r="B91" s="2">
        <v>43555</v>
      </c>
      <c r="C91">
        <v>-0.4</v>
      </c>
      <c r="D91">
        <v>0.25</v>
      </c>
      <c r="E91" s="4">
        <v>0</v>
      </c>
    </row>
    <row r="92" spans="1:5" x14ac:dyDescent="0.35">
      <c r="A92" s="1">
        <v>43556</v>
      </c>
      <c r="B92" s="2">
        <v>43556</v>
      </c>
      <c r="C92">
        <v>-0.4</v>
      </c>
      <c r="D92">
        <v>0.25</v>
      </c>
      <c r="E92" s="4">
        <v>0</v>
      </c>
    </row>
    <row r="93" spans="1:5" x14ac:dyDescent="0.35">
      <c r="A93" s="1">
        <v>43557</v>
      </c>
      <c r="B93" s="2">
        <v>43557</v>
      </c>
      <c r="C93">
        <v>-0.4</v>
      </c>
      <c r="D93">
        <v>0.25</v>
      </c>
      <c r="E93" s="4">
        <v>0</v>
      </c>
    </row>
    <row r="94" spans="1:5" x14ac:dyDescent="0.35">
      <c r="A94" s="1">
        <v>43558</v>
      </c>
      <c r="B94" s="2">
        <v>43558</v>
      </c>
      <c r="C94">
        <v>-0.4</v>
      </c>
      <c r="D94">
        <v>0.25</v>
      </c>
      <c r="E94" s="4">
        <v>0</v>
      </c>
    </row>
    <row r="95" spans="1:5" x14ac:dyDescent="0.35">
      <c r="A95" s="1">
        <v>43559</v>
      </c>
      <c r="B95" s="2">
        <v>43559</v>
      </c>
      <c r="C95">
        <v>-0.4</v>
      </c>
      <c r="D95">
        <v>0.25</v>
      </c>
      <c r="E95" s="4">
        <v>0</v>
      </c>
    </row>
    <row r="96" spans="1:5" x14ac:dyDescent="0.35">
      <c r="A96" s="1">
        <v>43560</v>
      </c>
      <c r="B96" s="2">
        <v>43560</v>
      </c>
      <c r="C96">
        <v>-0.4</v>
      </c>
      <c r="D96">
        <v>0.25</v>
      </c>
      <c r="E96" s="4">
        <v>0</v>
      </c>
    </row>
    <row r="97" spans="1:5" x14ac:dyDescent="0.35">
      <c r="A97" s="1">
        <v>43561</v>
      </c>
      <c r="B97" s="2">
        <v>43561</v>
      </c>
      <c r="C97">
        <v>-0.4</v>
      </c>
      <c r="D97">
        <v>0.25</v>
      </c>
      <c r="E97" s="4">
        <v>0</v>
      </c>
    </row>
    <row r="98" spans="1:5" x14ac:dyDescent="0.35">
      <c r="A98" s="1">
        <v>43562</v>
      </c>
      <c r="B98" s="2">
        <v>43562</v>
      </c>
      <c r="C98">
        <v>-0.4</v>
      </c>
      <c r="D98">
        <v>0.25</v>
      </c>
      <c r="E98" s="4">
        <v>0</v>
      </c>
    </row>
    <row r="99" spans="1:5" x14ac:dyDescent="0.35">
      <c r="A99" s="1">
        <v>43563</v>
      </c>
      <c r="B99" s="2">
        <v>43563</v>
      </c>
      <c r="C99">
        <v>-0.4</v>
      </c>
      <c r="D99">
        <v>0.25</v>
      </c>
      <c r="E99" s="4">
        <v>0</v>
      </c>
    </row>
    <row r="100" spans="1:5" x14ac:dyDescent="0.35">
      <c r="A100" s="1">
        <v>43564</v>
      </c>
      <c r="B100" s="2">
        <v>43564</v>
      </c>
      <c r="C100">
        <v>-0.4</v>
      </c>
      <c r="D100">
        <v>0.25</v>
      </c>
      <c r="E100" s="4">
        <v>0</v>
      </c>
    </row>
    <row r="101" spans="1:5" x14ac:dyDescent="0.35">
      <c r="A101" s="1">
        <v>43565</v>
      </c>
      <c r="B101" s="2">
        <v>43565</v>
      </c>
      <c r="C101">
        <v>-0.4</v>
      </c>
      <c r="D101">
        <v>0.25</v>
      </c>
      <c r="E101" s="4">
        <v>0</v>
      </c>
    </row>
    <row r="102" spans="1:5" x14ac:dyDescent="0.35">
      <c r="A102" s="1">
        <v>43566</v>
      </c>
      <c r="B102" s="2">
        <v>43566</v>
      </c>
      <c r="C102">
        <v>-0.4</v>
      </c>
      <c r="D102">
        <v>0.25</v>
      </c>
      <c r="E102" s="4">
        <v>0</v>
      </c>
    </row>
    <row r="103" spans="1:5" x14ac:dyDescent="0.35">
      <c r="A103" s="1">
        <v>43567</v>
      </c>
      <c r="B103" s="2">
        <v>43567</v>
      </c>
      <c r="C103">
        <v>-0.4</v>
      </c>
      <c r="D103">
        <v>0.25</v>
      </c>
      <c r="E103" s="4">
        <v>0</v>
      </c>
    </row>
    <row r="104" spans="1:5" x14ac:dyDescent="0.35">
      <c r="A104" s="1">
        <v>43568</v>
      </c>
      <c r="B104" s="2">
        <v>43568</v>
      </c>
      <c r="C104">
        <v>-0.4</v>
      </c>
      <c r="D104">
        <v>0.25</v>
      </c>
      <c r="E104" s="4">
        <v>0</v>
      </c>
    </row>
    <row r="105" spans="1:5" x14ac:dyDescent="0.35">
      <c r="A105" s="1">
        <v>43569</v>
      </c>
      <c r="B105" s="2">
        <v>43569</v>
      </c>
      <c r="C105">
        <v>-0.4</v>
      </c>
      <c r="D105">
        <v>0.25</v>
      </c>
      <c r="E105" s="4">
        <v>0</v>
      </c>
    </row>
    <row r="106" spans="1:5" x14ac:dyDescent="0.35">
      <c r="A106" s="1">
        <v>43570</v>
      </c>
      <c r="B106" s="2">
        <v>43570</v>
      </c>
      <c r="C106">
        <v>-0.4</v>
      </c>
      <c r="D106">
        <v>0.25</v>
      </c>
      <c r="E106" s="4">
        <v>0</v>
      </c>
    </row>
    <row r="107" spans="1:5" x14ac:dyDescent="0.35">
      <c r="A107" s="1">
        <v>43571</v>
      </c>
      <c r="B107" s="2">
        <v>43571</v>
      </c>
      <c r="C107">
        <v>-0.4</v>
      </c>
      <c r="D107">
        <v>0.25</v>
      </c>
      <c r="E107" s="4">
        <v>0</v>
      </c>
    </row>
    <row r="108" spans="1:5" x14ac:dyDescent="0.35">
      <c r="A108" s="1">
        <v>43572</v>
      </c>
      <c r="B108" s="2">
        <v>43572</v>
      </c>
      <c r="C108">
        <v>-0.4</v>
      </c>
      <c r="D108">
        <v>0.25</v>
      </c>
      <c r="E108" s="4">
        <v>0</v>
      </c>
    </row>
    <row r="109" spans="1:5" x14ac:dyDescent="0.35">
      <c r="A109" s="1">
        <v>43573</v>
      </c>
      <c r="B109" s="2">
        <v>43573</v>
      </c>
      <c r="C109">
        <v>-0.4</v>
      </c>
      <c r="D109">
        <v>0.25</v>
      </c>
      <c r="E109" s="4">
        <v>0</v>
      </c>
    </row>
    <row r="110" spans="1:5" x14ac:dyDescent="0.35">
      <c r="A110" s="1">
        <v>43574</v>
      </c>
      <c r="B110" s="2">
        <v>43574</v>
      </c>
      <c r="C110">
        <v>-0.4</v>
      </c>
      <c r="D110">
        <v>0.25</v>
      </c>
      <c r="E110" s="4">
        <v>0</v>
      </c>
    </row>
    <row r="111" spans="1:5" x14ac:dyDescent="0.35">
      <c r="A111" s="1">
        <v>43575</v>
      </c>
      <c r="B111" s="2">
        <v>43575</v>
      </c>
      <c r="C111">
        <v>-0.4</v>
      </c>
      <c r="D111">
        <v>0.25</v>
      </c>
      <c r="E111" s="4">
        <v>0</v>
      </c>
    </row>
    <row r="112" spans="1:5" x14ac:dyDescent="0.35">
      <c r="A112" s="1">
        <v>43576</v>
      </c>
      <c r="B112" s="2">
        <v>43576</v>
      </c>
      <c r="C112">
        <v>-0.4</v>
      </c>
      <c r="D112">
        <v>0.25</v>
      </c>
      <c r="E112" s="4">
        <v>0</v>
      </c>
    </row>
    <row r="113" spans="1:5" x14ac:dyDescent="0.35">
      <c r="A113" s="1">
        <v>43577</v>
      </c>
      <c r="B113" s="2">
        <v>43577</v>
      </c>
      <c r="C113">
        <v>-0.4</v>
      </c>
      <c r="D113">
        <v>0.25</v>
      </c>
      <c r="E113" s="4">
        <v>0</v>
      </c>
    </row>
    <row r="114" spans="1:5" x14ac:dyDescent="0.35">
      <c r="A114" s="1">
        <v>43578</v>
      </c>
      <c r="B114" s="2">
        <v>43578</v>
      </c>
      <c r="C114">
        <v>-0.4</v>
      </c>
      <c r="D114">
        <v>0.25</v>
      </c>
      <c r="E114" s="4">
        <v>0</v>
      </c>
    </row>
    <row r="115" spans="1:5" x14ac:dyDescent="0.35">
      <c r="A115" s="1">
        <v>43579</v>
      </c>
      <c r="B115" s="2">
        <v>43579</v>
      </c>
      <c r="C115">
        <v>-0.4</v>
      </c>
      <c r="D115">
        <v>0.25</v>
      </c>
      <c r="E115" s="4">
        <v>0</v>
      </c>
    </row>
    <row r="116" spans="1:5" x14ac:dyDescent="0.35">
      <c r="A116" s="1">
        <v>43580</v>
      </c>
      <c r="B116" s="2">
        <v>43580</v>
      </c>
      <c r="C116">
        <v>-0.4</v>
      </c>
      <c r="D116">
        <v>0.25</v>
      </c>
      <c r="E116" s="4">
        <v>0</v>
      </c>
    </row>
    <row r="117" spans="1:5" x14ac:dyDescent="0.35">
      <c r="A117" s="1">
        <v>43581</v>
      </c>
      <c r="B117" s="2">
        <v>43581</v>
      </c>
      <c r="C117">
        <v>-0.4</v>
      </c>
      <c r="D117">
        <v>0.25</v>
      </c>
      <c r="E117" s="4">
        <v>0</v>
      </c>
    </row>
    <row r="118" spans="1:5" x14ac:dyDescent="0.35">
      <c r="A118" s="1">
        <v>43582</v>
      </c>
      <c r="B118" s="2">
        <v>43582</v>
      </c>
      <c r="C118">
        <v>-0.4</v>
      </c>
      <c r="D118">
        <v>0.25</v>
      </c>
      <c r="E118" s="4">
        <v>0</v>
      </c>
    </row>
    <row r="119" spans="1:5" x14ac:dyDescent="0.35">
      <c r="A119" s="1">
        <v>43583</v>
      </c>
      <c r="B119" s="2">
        <v>43583</v>
      </c>
      <c r="C119">
        <v>-0.4</v>
      </c>
      <c r="D119">
        <v>0.25</v>
      </c>
      <c r="E119" s="4">
        <v>0</v>
      </c>
    </row>
    <row r="120" spans="1:5" x14ac:dyDescent="0.35">
      <c r="A120" s="1">
        <v>43584</v>
      </c>
      <c r="B120" s="2">
        <v>43584</v>
      </c>
      <c r="C120">
        <v>-0.4</v>
      </c>
      <c r="D120">
        <v>0.25</v>
      </c>
      <c r="E120" s="4">
        <v>0</v>
      </c>
    </row>
    <row r="121" spans="1:5" x14ac:dyDescent="0.35">
      <c r="A121" s="1">
        <v>43585</v>
      </c>
      <c r="B121" s="2">
        <v>43585</v>
      </c>
      <c r="C121">
        <v>-0.4</v>
      </c>
      <c r="D121">
        <v>0.25</v>
      </c>
      <c r="E121" s="4">
        <v>0</v>
      </c>
    </row>
    <row r="122" spans="1:5" x14ac:dyDescent="0.35">
      <c r="A122" s="1">
        <v>43586</v>
      </c>
      <c r="B122" s="2">
        <v>43586</v>
      </c>
      <c r="C122">
        <v>-0.4</v>
      </c>
      <c r="D122">
        <v>0.25</v>
      </c>
      <c r="E122" s="4">
        <v>0</v>
      </c>
    </row>
    <row r="123" spans="1:5" x14ac:dyDescent="0.35">
      <c r="A123" s="1">
        <v>43587</v>
      </c>
      <c r="B123" s="2">
        <v>43587</v>
      </c>
      <c r="C123">
        <v>-0.4</v>
      </c>
      <c r="D123">
        <v>0.25</v>
      </c>
      <c r="E123" s="4">
        <v>0</v>
      </c>
    </row>
    <row r="124" spans="1:5" x14ac:dyDescent="0.35">
      <c r="A124" s="1">
        <v>43588</v>
      </c>
      <c r="B124" s="2">
        <v>43588</v>
      </c>
      <c r="C124">
        <v>-0.4</v>
      </c>
      <c r="D124">
        <v>0.25</v>
      </c>
      <c r="E124" s="4">
        <v>0</v>
      </c>
    </row>
    <row r="125" spans="1:5" x14ac:dyDescent="0.35">
      <c r="A125" s="1">
        <v>43589</v>
      </c>
      <c r="B125" s="2">
        <v>43589</v>
      </c>
      <c r="C125">
        <v>-0.4</v>
      </c>
      <c r="D125">
        <v>0.25</v>
      </c>
      <c r="E125" s="4">
        <v>0</v>
      </c>
    </row>
    <row r="126" spans="1:5" x14ac:dyDescent="0.35">
      <c r="A126" s="1">
        <v>43590</v>
      </c>
      <c r="B126" s="2">
        <v>43590</v>
      </c>
      <c r="C126">
        <v>-0.4</v>
      </c>
      <c r="D126">
        <v>0.25</v>
      </c>
      <c r="E126" s="4">
        <v>0</v>
      </c>
    </row>
    <row r="127" spans="1:5" x14ac:dyDescent="0.35">
      <c r="A127" s="1">
        <v>43591</v>
      </c>
      <c r="B127" s="2">
        <v>43591</v>
      </c>
      <c r="C127">
        <v>-0.4</v>
      </c>
      <c r="D127">
        <v>0.25</v>
      </c>
      <c r="E127" s="4">
        <v>0</v>
      </c>
    </row>
    <row r="128" spans="1:5" x14ac:dyDescent="0.35">
      <c r="A128" s="1">
        <v>43592</v>
      </c>
      <c r="B128" s="2">
        <v>43592</v>
      </c>
      <c r="C128">
        <v>-0.4</v>
      </c>
      <c r="D128">
        <v>0.25</v>
      </c>
      <c r="E128" s="4">
        <v>0</v>
      </c>
    </row>
    <row r="129" spans="1:5" x14ac:dyDescent="0.35">
      <c r="A129" s="1">
        <v>43593</v>
      </c>
      <c r="B129" s="2">
        <v>43593</v>
      </c>
      <c r="C129">
        <v>-0.4</v>
      </c>
      <c r="D129">
        <v>0.25</v>
      </c>
      <c r="E129" s="4">
        <v>0</v>
      </c>
    </row>
    <row r="130" spans="1:5" x14ac:dyDescent="0.35">
      <c r="A130" s="1">
        <v>43594</v>
      </c>
      <c r="B130" s="2">
        <v>43594</v>
      </c>
      <c r="C130">
        <v>-0.4</v>
      </c>
      <c r="D130">
        <v>0.25</v>
      </c>
      <c r="E130" s="4">
        <v>0</v>
      </c>
    </row>
    <row r="131" spans="1:5" x14ac:dyDescent="0.35">
      <c r="A131" s="1">
        <v>43595</v>
      </c>
      <c r="B131" s="2">
        <v>43595</v>
      </c>
      <c r="C131">
        <v>-0.4</v>
      </c>
      <c r="D131">
        <v>0.25</v>
      </c>
      <c r="E131" s="4">
        <v>0</v>
      </c>
    </row>
    <row r="132" spans="1:5" x14ac:dyDescent="0.35">
      <c r="A132" s="1">
        <v>43596</v>
      </c>
      <c r="B132" s="2">
        <v>43596</v>
      </c>
      <c r="C132">
        <v>-0.4</v>
      </c>
      <c r="D132">
        <v>0.25</v>
      </c>
      <c r="E132" s="4">
        <v>0</v>
      </c>
    </row>
    <row r="133" spans="1:5" x14ac:dyDescent="0.35">
      <c r="A133" s="1">
        <v>43597</v>
      </c>
      <c r="B133" s="2">
        <v>43597</v>
      </c>
      <c r="C133">
        <v>-0.4</v>
      </c>
      <c r="D133">
        <v>0.25</v>
      </c>
      <c r="E133" s="4">
        <v>0</v>
      </c>
    </row>
    <row r="134" spans="1:5" x14ac:dyDescent="0.35">
      <c r="A134" s="1">
        <v>43598</v>
      </c>
      <c r="B134" s="2">
        <v>43598</v>
      </c>
      <c r="C134">
        <v>-0.4</v>
      </c>
      <c r="D134">
        <v>0.25</v>
      </c>
      <c r="E134" s="4">
        <v>0</v>
      </c>
    </row>
    <row r="135" spans="1:5" x14ac:dyDescent="0.35">
      <c r="A135" s="1">
        <v>43599</v>
      </c>
      <c r="B135" s="2">
        <v>43599</v>
      </c>
      <c r="C135">
        <v>-0.4</v>
      </c>
      <c r="D135">
        <v>0.25</v>
      </c>
      <c r="E135" s="4">
        <v>0</v>
      </c>
    </row>
    <row r="136" spans="1:5" x14ac:dyDescent="0.35">
      <c r="A136" s="1">
        <v>43600</v>
      </c>
      <c r="B136" s="2">
        <v>43600</v>
      </c>
      <c r="C136">
        <v>-0.4</v>
      </c>
      <c r="D136">
        <v>0.25</v>
      </c>
      <c r="E136" s="4">
        <v>0</v>
      </c>
    </row>
    <row r="137" spans="1:5" x14ac:dyDescent="0.35">
      <c r="A137" s="1">
        <v>43601</v>
      </c>
      <c r="B137" s="2">
        <v>43601</v>
      </c>
      <c r="C137">
        <v>-0.4</v>
      </c>
      <c r="D137">
        <v>0.25</v>
      </c>
      <c r="E137" s="4">
        <v>0</v>
      </c>
    </row>
    <row r="138" spans="1:5" x14ac:dyDescent="0.35">
      <c r="A138" s="1">
        <v>43602</v>
      </c>
      <c r="B138" s="2">
        <v>43602</v>
      </c>
      <c r="C138">
        <v>-0.4</v>
      </c>
      <c r="D138">
        <v>0.25</v>
      </c>
      <c r="E138" s="4">
        <v>0</v>
      </c>
    </row>
    <row r="139" spans="1:5" x14ac:dyDescent="0.35">
      <c r="A139" s="1">
        <v>43603</v>
      </c>
      <c r="B139" s="2">
        <v>43603</v>
      </c>
      <c r="C139">
        <v>-0.4</v>
      </c>
      <c r="D139">
        <v>0.25</v>
      </c>
      <c r="E139" s="4">
        <v>0</v>
      </c>
    </row>
    <row r="140" spans="1:5" x14ac:dyDescent="0.35">
      <c r="A140" s="1">
        <v>43604</v>
      </c>
      <c r="B140" s="2">
        <v>43604</v>
      </c>
      <c r="C140">
        <v>-0.4</v>
      </c>
      <c r="D140">
        <v>0.25</v>
      </c>
      <c r="E140" s="4">
        <v>0</v>
      </c>
    </row>
    <row r="141" spans="1:5" x14ac:dyDescent="0.35">
      <c r="A141" s="1">
        <v>43605</v>
      </c>
      <c r="B141" s="2">
        <v>43605</v>
      </c>
      <c r="C141">
        <v>-0.4</v>
      </c>
      <c r="D141">
        <v>0.25</v>
      </c>
      <c r="E141" s="4">
        <v>0</v>
      </c>
    </row>
    <row r="142" spans="1:5" x14ac:dyDescent="0.35">
      <c r="A142" s="1">
        <v>43606</v>
      </c>
      <c r="B142" s="2">
        <v>43606</v>
      </c>
      <c r="C142">
        <v>-0.4</v>
      </c>
      <c r="D142">
        <v>0.25</v>
      </c>
      <c r="E142" s="4">
        <v>0</v>
      </c>
    </row>
    <row r="143" spans="1:5" x14ac:dyDescent="0.35">
      <c r="A143" s="1">
        <v>43607</v>
      </c>
      <c r="B143" s="2">
        <v>43607</v>
      </c>
      <c r="C143">
        <v>-0.4</v>
      </c>
      <c r="D143">
        <v>0.25</v>
      </c>
      <c r="E143" s="4">
        <v>0</v>
      </c>
    </row>
    <row r="144" spans="1:5" x14ac:dyDescent="0.35">
      <c r="A144" s="1">
        <v>43608</v>
      </c>
      <c r="B144" s="2">
        <v>43608</v>
      </c>
      <c r="C144">
        <v>-0.4</v>
      </c>
      <c r="D144">
        <v>0.25</v>
      </c>
      <c r="E144" s="4">
        <v>0</v>
      </c>
    </row>
    <row r="145" spans="1:5" x14ac:dyDescent="0.35">
      <c r="A145" s="1">
        <v>43609</v>
      </c>
      <c r="B145" s="2">
        <v>43609</v>
      </c>
      <c r="C145">
        <v>-0.4</v>
      </c>
      <c r="D145">
        <v>0.25</v>
      </c>
      <c r="E145" s="4">
        <v>0</v>
      </c>
    </row>
    <row r="146" spans="1:5" x14ac:dyDescent="0.35">
      <c r="A146" s="1">
        <v>43610</v>
      </c>
      <c r="B146" s="2">
        <v>43610</v>
      </c>
      <c r="C146">
        <v>-0.4</v>
      </c>
      <c r="D146">
        <v>0.25</v>
      </c>
      <c r="E146" s="4">
        <v>0</v>
      </c>
    </row>
    <row r="147" spans="1:5" x14ac:dyDescent="0.35">
      <c r="A147" s="1">
        <v>43611</v>
      </c>
      <c r="B147" s="2">
        <v>43611</v>
      </c>
      <c r="C147">
        <v>-0.4</v>
      </c>
      <c r="D147">
        <v>0.25</v>
      </c>
      <c r="E147" s="4">
        <v>0</v>
      </c>
    </row>
    <row r="148" spans="1:5" x14ac:dyDescent="0.35">
      <c r="A148" s="1">
        <v>43612</v>
      </c>
      <c r="B148" s="2">
        <v>43612</v>
      </c>
      <c r="C148">
        <v>-0.4</v>
      </c>
      <c r="D148">
        <v>0.25</v>
      </c>
      <c r="E148" s="4">
        <v>0</v>
      </c>
    </row>
    <row r="149" spans="1:5" x14ac:dyDescent="0.35">
      <c r="A149" s="1">
        <v>43613</v>
      </c>
      <c r="B149" s="2">
        <v>43613</v>
      </c>
      <c r="C149">
        <v>-0.4</v>
      </c>
      <c r="D149">
        <v>0.25</v>
      </c>
      <c r="E149" s="4">
        <v>0</v>
      </c>
    </row>
    <row r="150" spans="1:5" x14ac:dyDescent="0.35">
      <c r="A150" s="1">
        <v>43614</v>
      </c>
      <c r="B150" s="2">
        <v>43614</v>
      </c>
      <c r="C150">
        <v>-0.4</v>
      </c>
      <c r="D150">
        <v>0.25</v>
      </c>
      <c r="E150" s="4">
        <v>0</v>
      </c>
    </row>
    <row r="151" spans="1:5" x14ac:dyDescent="0.35">
      <c r="A151" s="1">
        <v>43615</v>
      </c>
      <c r="B151" s="2">
        <v>43615</v>
      </c>
      <c r="C151">
        <v>-0.4</v>
      </c>
      <c r="D151">
        <v>0.25</v>
      </c>
      <c r="E151" s="4">
        <v>0</v>
      </c>
    </row>
    <row r="152" spans="1:5" x14ac:dyDescent="0.35">
      <c r="A152" s="1">
        <v>43616</v>
      </c>
      <c r="B152" s="2">
        <v>43616</v>
      </c>
      <c r="C152">
        <v>-0.4</v>
      </c>
      <c r="D152">
        <v>0.25</v>
      </c>
      <c r="E152" s="4">
        <v>0</v>
      </c>
    </row>
    <row r="153" spans="1:5" x14ac:dyDescent="0.35">
      <c r="A153" s="1">
        <v>43617</v>
      </c>
      <c r="B153" s="2">
        <v>43617</v>
      </c>
      <c r="C153">
        <v>-0.4</v>
      </c>
      <c r="D153">
        <v>0.25</v>
      </c>
      <c r="E153" s="4">
        <v>0</v>
      </c>
    </row>
    <row r="154" spans="1:5" x14ac:dyDescent="0.35">
      <c r="A154" s="1">
        <v>43618</v>
      </c>
      <c r="B154" s="2">
        <v>43618</v>
      </c>
      <c r="C154">
        <v>-0.4</v>
      </c>
      <c r="D154">
        <v>0.25</v>
      </c>
      <c r="E154" s="4">
        <v>0</v>
      </c>
    </row>
    <row r="155" spans="1:5" x14ac:dyDescent="0.35">
      <c r="A155" s="1">
        <v>43619</v>
      </c>
      <c r="B155" s="2">
        <v>43619</v>
      </c>
      <c r="C155">
        <v>-0.4</v>
      </c>
      <c r="D155">
        <v>0.25</v>
      </c>
      <c r="E155" s="4">
        <v>0</v>
      </c>
    </row>
    <row r="156" spans="1:5" x14ac:dyDescent="0.35">
      <c r="A156" s="1">
        <v>43620</v>
      </c>
      <c r="B156" s="2">
        <v>43620</v>
      </c>
      <c r="C156">
        <v>-0.4</v>
      </c>
      <c r="D156">
        <v>0.25</v>
      </c>
      <c r="E156" s="4">
        <v>0</v>
      </c>
    </row>
    <row r="157" spans="1:5" x14ac:dyDescent="0.35">
      <c r="A157" s="1">
        <v>43621</v>
      </c>
      <c r="B157" s="2">
        <v>43621</v>
      </c>
      <c r="C157">
        <v>-0.4</v>
      </c>
      <c r="D157">
        <v>0.25</v>
      </c>
      <c r="E157" s="4">
        <v>0</v>
      </c>
    </row>
    <row r="158" spans="1:5" x14ac:dyDescent="0.35">
      <c r="A158" s="1">
        <v>43622</v>
      </c>
      <c r="B158" s="2">
        <v>43622</v>
      </c>
      <c r="C158">
        <v>-0.4</v>
      </c>
      <c r="D158">
        <v>0.25</v>
      </c>
      <c r="E158" s="4">
        <v>0</v>
      </c>
    </row>
    <row r="159" spans="1:5" x14ac:dyDescent="0.35">
      <c r="A159" s="1">
        <v>43623</v>
      </c>
      <c r="B159" s="2">
        <v>43623</v>
      </c>
      <c r="C159">
        <v>-0.4</v>
      </c>
      <c r="D159">
        <v>0.25</v>
      </c>
      <c r="E159" s="4">
        <v>0</v>
      </c>
    </row>
    <row r="160" spans="1:5" x14ac:dyDescent="0.35">
      <c r="A160" s="1">
        <v>43624</v>
      </c>
      <c r="B160" s="2">
        <v>43624</v>
      </c>
      <c r="C160">
        <v>-0.4</v>
      </c>
      <c r="D160">
        <v>0.25</v>
      </c>
      <c r="E160" s="4">
        <v>0</v>
      </c>
    </row>
    <row r="161" spans="1:5" x14ac:dyDescent="0.35">
      <c r="A161" s="1">
        <v>43625</v>
      </c>
      <c r="B161" s="2">
        <v>43625</v>
      </c>
      <c r="C161">
        <v>-0.4</v>
      </c>
      <c r="D161">
        <v>0.25</v>
      </c>
      <c r="E161" s="4">
        <v>0</v>
      </c>
    </row>
    <row r="162" spans="1:5" x14ac:dyDescent="0.35">
      <c r="A162" s="1">
        <v>43626</v>
      </c>
      <c r="B162" s="2">
        <v>43626</v>
      </c>
      <c r="C162">
        <v>-0.4</v>
      </c>
      <c r="D162">
        <v>0.25</v>
      </c>
      <c r="E162" s="4">
        <v>0</v>
      </c>
    </row>
    <row r="163" spans="1:5" x14ac:dyDescent="0.35">
      <c r="A163" s="1">
        <v>43627</v>
      </c>
      <c r="B163" s="2">
        <v>43627</v>
      </c>
      <c r="C163">
        <v>-0.4</v>
      </c>
      <c r="D163">
        <v>0.25</v>
      </c>
      <c r="E163" s="4">
        <v>0</v>
      </c>
    </row>
    <row r="164" spans="1:5" x14ac:dyDescent="0.35">
      <c r="A164" s="1">
        <v>43628</v>
      </c>
      <c r="B164" s="2">
        <v>43628</v>
      </c>
      <c r="C164">
        <v>-0.4</v>
      </c>
      <c r="D164">
        <v>0.25</v>
      </c>
      <c r="E164" s="4">
        <v>0</v>
      </c>
    </row>
    <row r="165" spans="1:5" x14ac:dyDescent="0.35">
      <c r="A165" s="1">
        <v>43629</v>
      </c>
      <c r="B165" s="2">
        <v>43629</v>
      </c>
      <c r="C165">
        <v>-0.4</v>
      </c>
      <c r="D165">
        <v>0.25</v>
      </c>
      <c r="E165" s="4">
        <v>0</v>
      </c>
    </row>
    <row r="166" spans="1:5" x14ac:dyDescent="0.35">
      <c r="A166" s="1">
        <v>43630</v>
      </c>
      <c r="B166" s="2">
        <v>43630</v>
      </c>
      <c r="C166">
        <v>-0.4</v>
      </c>
      <c r="D166">
        <v>0.25</v>
      </c>
      <c r="E166" s="4">
        <v>0</v>
      </c>
    </row>
    <row r="167" spans="1:5" x14ac:dyDescent="0.35">
      <c r="A167" s="1">
        <v>43631</v>
      </c>
      <c r="B167" s="2">
        <v>43631</v>
      </c>
      <c r="C167">
        <v>-0.4</v>
      </c>
      <c r="D167">
        <v>0.25</v>
      </c>
      <c r="E167" s="4">
        <v>0</v>
      </c>
    </row>
    <row r="168" spans="1:5" x14ac:dyDescent="0.35">
      <c r="A168" s="1">
        <v>43632</v>
      </c>
      <c r="B168" s="2">
        <v>43632</v>
      </c>
      <c r="C168">
        <v>-0.4</v>
      </c>
      <c r="D168">
        <v>0.25</v>
      </c>
      <c r="E168" s="4">
        <v>0</v>
      </c>
    </row>
    <row r="169" spans="1:5" x14ac:dyDescent="0.35">
      <c r="A169" s="1">
        <v>43633</v>
      </c>
      <c r="B169" s="2">
        <v>43633</v>
      </c>
      <c r="C169">
        <v>-0.4</v>
      </c>
      <c r="D169">
        <v>0.25</v>
      </c>
      <c r="E169" s="4">
        <v>0</v>
      </c>
    </row>
    <row r="170" spans="1:5" x14ac:dyDescent="0.35">
      <c r="A170" s="1">
        <v>43634</v>
      </c>
      <c r="B170" s="2">
        <v>43634</v>
      </c>
      <c r="C170">
        <v>-0.4</v>
      </c>
      <c r="D170">
        <v>0.25</v>
      </c>
      <c r="E170" s="4">
        <v>0</v>
      </c>
    </row>
    <row r="171" spans="1:5" x14ac:dyDescent="0.35">
      <c r="A171" s="1">
        <v>43635</v>
      </c>
      <c r="B171" s="2">
        <v>43635</v>
      </c>
      <c r="C171">
        <v>-0.4</v>
      </c>
      <c r="D171">
        <v>0.25</v>
      </c>
      <c r="E171" s="4">
        <v>0</v>
      </c>
    </row>
    <row r="172" spans="1:5" x14ac:dyDescent="0.35">
      <c r="A172" s="1">
        <v>43636</v>
      </c>
      <c r="B172" s="2">
        <v>43636</v>
      </c>
      <c r="C172">
        <v>-0.4</v>
      </c>
      <c r="D172">
        <v>0.25</v>
      </c>
      <c r="E172" s="4">
        <v>0</v>
      </c>
    </row>
    <row r="173" spans="1:5" x14ac:dyDescent="0.35">
      <c r="A173" s="1">
        <v>43637</v>
      </c>
      <c r="B173" s="2">
        <v>43637</v>
      </c>
      <c r="C173">
        <v>-0.4</v>
      </c>
      <c r="D173">
        <v>0.25</v>
      </c>
      <c r="E173" s="4">
        <v>0</v>
      </c>
    </row>
    <row r="174" spans="1:5" x14ac:dyDescent="0.35">
      <c r="A174" s="1">
        <v>43638</v>
      </c>
      <c r="B174" s="2">
        <v>43638</v>
      </c>
      <c r="C174">
        <v>-0.4</v>
      </c>
      <c r="D174">
        <v>0.25</v>
      </c>
      <c r="E174" s="4">
        <v>0</v>
      </c>
    </row>
    <row r="175" spans="1:5" x14ac:dyDescent="0.35">
      <c r="A175" s="1">
        <v>43639</v>
      </c>
      <c r="B175" s="2">
        <v>43639</v>
      </c>
      <c r="C175">
        <v>-0.4</v>
      </c>
      <c r="D175">
        <v>0.25</v>
      </c>
      <c r="E175" s="4">
        <v>0</v>
      </c>
    </row>
    <row r="176" spans="1:5" x14ac:dyDescent="0.35">
      <c r="A176" s="1">
        <v>43640</v>
      </c>
      <c r="B176" s="2">
        <v>43640</v>
      </c>
      <c r="C176">
        <v>-0.4</v>
      </c>
      <c r="D176">
        <v>0.25</v>
      </c>
      <c r="E176" s="4">
        <v>0</v>
      </c>
    </row>
    <row r="177" spans="1:5" x14ac:dyDescent="0.35">
      <c r="A177" s="1">
        <v>43641</v>
      </c>
      <c r="B177" s="2">
        <v>43641</v>
      </c>
      <c r="C177">
        <v>-0.4</v>
      </c>
      <c r="D177">
        <v>0.25</v>
      </c>
      <c r="E177" s="4">
        <v>0</v>
      </c>
    </row>
    <row r="178" spans="1:5" x14ac:dyDescent="0.35">
      <c r="A178" s="1">
        <v>43642</v>
      </c>
      <c r="B178" s="2">
        <v>43642</v>
      </c>
      <c r="C178">
        <v>-0.4</v>
      </c>
      <c r="D178">
        <v>0.25</v>
      </c>
      <c r="E178" s="4">
        <v>0</v>
      </c>
    </row>
    <row r="179" spans="1:5" x14ac:dyDescent="0.35">
      <c r="A179" s="1">
        <v>43643</v>
      </c>
      <c r="B179" s="2">
        <v>43643</v>
      </c>
      <c r="C179">
        <v>-0.4</v>
      </c>
      <c r="D179">
        <v>0.25</v>
      </c>
      <c r="E179" s="4">
        <v>0</v>
      </c>
    </row>
    <row r="180" spans="1:5" x14ac:dyDescent="0.35">
      <c r="A180" s="1">
        <v>43644</v>
      </c>
      <c r="B180" s="2">
        <v>43644</v>
      </c>
      <c r="C180">
        <v>-0.4</v>
      </c>
      <c r="D180">
        <v>0.25</v>
      </c>
      <c r="E180" s="4">
        <v>0</v>
      </c>
    </row>
    <row r="181" spans="1:5" x14ac:dyDescent="0.35">
      <c r="A181" s="1">
        <v>43645</v>
      </c>
      <c r="B181" s="2">
        <v>43645</v>
      </c>
      <c r="C181">
        <v>-0.4</v>
      </c>
      <c r="D181">
        <v>0.25</v>
      </c>
      <c r="E181" s="4">
        <v>0</v>
      </c>
    </row>
    <row r="182" spans="1:5" x14ac:dyDescent="0.35">
      <c r="A182" s="1">
        <v>43646</v>
      </c>
      <c r="B182" s="2">
        <v>43646</v>
      </c>
      <c r="C182">
        <v>-0.4</v>
      </c>
      <c r="D182">
        <v>0.25</v>
      </c>
      <c r="E182" s="4">
        <v>0</v>
      </c>
    </row>
    <row r="183" spans="1:5" x14ac:dyDescent="0.35">
      <c r="A183" s="1">
        <v>43647</v>
      </c>
      <c r="B183" s="2">
        <v>43647</v>
      </c>
      <c r="C183">
        <v>-0.4</v>
      </c>
      <c r="D183">
        <v>0.25</v>
      </c>
      <c r="E183" s="4">
        <v>0</v>
      </c>
    </row>
    <row r="184" spans="1:5" x14ac:dyDescent="0.35">
      <c r="A184" s="1">
        <v>43648</v>
      </c>
      <c r="B184" s="2">
        <v>43648</v>
      </c>
      <c r="C184">
        <v>-0.4</v>
      </c>
      <c r="D184">
        <v>0.25</v>
      </c>
      <c r="E184" s="4">
        <v>0</v>
      </c>
    </row>
    <row r="185" spans="1:5" x14ac:dyDescent="0.35">
      <c r="A185" s="1">
        <v>43649</v>
      </c>
      <c r="B185" s="2">
        <v>43649</v>
      </c>
      <c r="C185">
        <v>-0.4</v>
      </c>
      <c r="D185">
        <v>0.25</v>
      </c>
      <c r="E185" s="4">
        <v>0</v>
      </c>
    </row>
    <row r="186" spans="1:5" x14ac:dyDescent="0.35">
      <c r="A186" s="1">
        <v>43650</v>
      </c>
      <c r="B186" s="2">
        <v>43650</v>
      </c>
      <c r="C186">
        <v>-0.4</v>
      </c>
      <c r="D186">
        <v>0.25</v>
      </c>
      <c r="E186" s="4">
        <v>0</v>
      </c>
    </row>
    <row r="187" spans="1:5" x14ac:dyDescent="0.35">
      <c r="A187" s="1">
        <v>43651</v>
      </c>
      <c r="B187" s="2">
        <v>43651</v>
      </c>
      <c r="C187">
        <v>-0.4</v>
      </c>
      <c r="D187">
        <v>0.25</v>
      </c>
      <c r="E187" s="4">
        <v>0</v>
      </c>
    </row>
    <row r="188" spans="1:5" x14ac:dyDescent="0.35">
      <c r="A188" s="1">
        <v>43652</v>
      </c>
      <c r="B188" s="2">
        <v>43652</v>
      </c>
      <c r="C188">
        <v>-0.4</v>
      </c>
      <c r="D188">
        <v>0.25</v>
      </c>
      <c r="E188" s="4">
        <v>0</v>
      </c>
    </row>
    <row r="189" spans="1:5" x14ac:dyDescent="0.35">
      <c r="A189" s="1">
        <v>43653</v>
      </c>
      <c r="B189" s="2">
        <v>43653</v>
      </c>
      <c r="C189">
        <v>-0.4</v>
      </c>
      <c r="D189">
        <v>0.25</v>
      </c>
      <c r="E189" s="4">
        <v>0</v>
      </c>
    </row>
    <row r="190" spans="1:5" x14ac:dyDescent="0.35">
      <c r="A190" s="1">
        <v>43654</v>
      </c>
      <c r="B190" s="2">
        <v>43654</v>
      </c>
      <c r="C190">
        <v>-0.4</v>
      </c>
      <c r="D190">
        <v>0.25</v>
      </c>
      <c r="E190" s="4">
        <v>0</v>
      </c>
    </row>
    <row r="191" spans="1:5" x14ac:dyDescent="0.35">
      <c r="A191" s="1">
        <v>43655</v>
      </c>
      <c r="B191" s="2">
        <v>43655</v>
      </c>
      <c r="C191">
        <v>-0.4</v>
      </c>
      <c r="D191">
        <v>0.25</v>
      </c>
      <c r="E191" s="4">
        <v>0</v>
      </c>
    </row>
    <row r="192" spans="1:5" x14ac:dyDescent="0.35">
      <c r="A192" s="1">
        <v>43656</v>
      </c>
      <c r="B192" s="2">
        <v>43656</v>
      </c>
      <c r="C192">
        <v>-0.4</v>
      </c>
      <c r="D192">
        <v>0.25</v>
      </c>
      <c r="E192" s="4">
        <v>0</v>
      </c>
    </row>
    <row r="193" spans="1:5" x14ac:dyDescent="0.35">
      <c r="A193" s="1">
        <v>43657</v>
      </c>
      <c r="B193" s="2">
        <v>43657</v>
      </c>
      <c r="C193">
        <v>-0.4</v>
      </c>
      <c r="D193">
        <v>0.25</v>
      </c>
      <c r="E193" s="4">
        <v>0</v>
      </c>
    </row>
    <row r="194" spans="1:5" x14ac:dyDescent="0.35">
      <c r="A194" s="1">
        <v>43658</v>
      </c>
      <c r="B194" s="2">
        <v>43658</v>
      </c>
      <c r="C194">
        <v>-0.4</v>
      </c>
      <c r="D194">
        <v>0.25</v>
      </c>
      <c r="E194" s="4">
        <v>0</v>
      </c>
    </row>
    <row r="195" spans="1:5" x14ac:dyDescent="0.35">
      <c r="A195" s="1">
        <v>43659</v>
      </c>
      <c r="B195" s="2">
        <v>43659</v>
      </c>
      <c r="C195">
        <v>-0.4</v>
      </c>
      <c r="D195">
        <v>0.25</v>
      </c>
      <c r="E195" s="4">
        <v>0</v>
      </c>
    </row>
    <row r="196" spans="1:5" x14ac:dyDescent="0.35">
      <c r="A196" s="1">
        <v>43660</v>
      </c>
      <c r="B196" s="2">
        <v>43660</v>
      </c>
      <c r="C196">
        <v>-0.4</v>
      </c>
      <c r="D196">
        <v>0.25</v>
      </c>
      <c r="E196" s="4">
        <v>0</v>
      </c>
    </row>
    <row r="197" spans="1:5" x14ac:dyDescent="0.35">
      <c r="A197" s="1">
        <v>43661</v>
      </c>
      <c r="B197" s="2">
        <v>43661</v>
      </c>
      <c r="C197">
        <v>-0.4</v>
      </c>
      <c r="D197">
        <v>0.25</v>
      </c>
      <c r="E197" s="4">
        <v>0</v>
      </c>
    </row>
    <row r="198" spans="1:5" x14ac:dyDescent="0.35">
      <c r="A198" s="1">
        <v>43662</v>
      </c>
      <c r="B198" s="2">
        <v>43662</v>
      </c>
      <c r="C198">
        <v>-0.4</v>
      </c>
      <c r="D198">
        <v>0.25</v>
      </c>
      <c r="E198" s="4">
        <v>0</v>
      </c>
    </row>
    <row r="199" spans="1:5" x14ac:dyDescent="0.35">
      <c r="A199" s="1">
        <v>43663</v>
      </c>
      <c r="B199" s="2">
        <v>43663</v>
      </c>
      <c r="C199">
        <v>-0.4</v>
      </c>
      <c r="D199">
        <v>0.25</v>
      </c>
      <c r="E199" s="4">
        <v>0</v>
      </c>
    </row>
    <row r="200" spans="1:5" x14ac:dyDescent="0.35">
      <c r="A200" s="1">
        <v>43664</v>
      </c>
      <c r="B200" s="2">
        <v>43664</v>
      </c>
      <c r="C200">
        <v>-0.4</v>
      </c>
      <c r="D200">
        <v>0.25</v>
      </c>
      <c r="E200" s="4">
        <v>0</v>
      </c>
    </row>
    <row r="201" spans="1:5" x14ac:dyDescent="0.35">
      <c r="A201" s="1">
        <v>43665</v>
      </c>
      <c r="B201" s="2">
        <v>43665</v>
      </c>
      <c r="C201">
        <v>-0.4</v>
      </c>
      <c r="D201">
        <v>0.25</v>
      </c>
      <c r="E201" s="4">
        <v>0</v>
      </c>
    </row>
    <row r="202" spans="1:5" x14ac:dyDescent="0.35">
      <c r="A202" s="1">
        <v>43666</v>
      </c>
      <c r="B202" s="2">
        <v>43666</v>
      </c>
      <c r="C202">
        <v>-0.4</v>
      </c>
      <c r="D202">
        <v>0.25</v>
      </c>
      <c r="E202" s="4">
        <v>0</v>
      </c>
    </row>
    <row r="203" spans="1:5" x14ac:dyDescent="0.35">
      <c r="A203" s="1">
        <v>43667</v>
      </c>
      <c r="B203" s="2">
        <v>43667</v>
      </c>
      <c r="C203">
        <v>-0.4</v>
      </c>
      <c r="D203">
        <v>0.25</v>
      </c>
      <c r="E203" s="4">
        <v>0</v>
      </c>
    </row>
    <row r="204" spans="1:5" x14ac:dyDescent="0.35">
      <c r="A204" s="1">
        <v>43668</v>
      </c>
      <c r="B204" s="2">
        <v>43668</v>
      </c>
      <c r="C204">
        <v>-0.4</v>
      </c>
      <c r="D204">
        <v>0.25</v>
      </c>
      <c r="E204" s="4">
        <v>0</v>
      </c>
    </row>
    <row r="205" spans="1:5" x14ac:dyDescent="0.35">
      <c r="A205" s="1">
        <v>43669</v>
      </c>
      <c r="B205" s="2">
        <v>43669</v>
      </c>
      <c r="C205">
        <v>-0.4</v>
      </c>
      <c r="D205">
        <v>0.25</v>
      </c>
      <c r="E205" s="4">
        <v>0</v>
      </c>
    </row>
    <row r="206" spans="1:5" x14ac:dyDescent="0.35">
      <c r="A206" s="1">
        <v>43670</v>
      </c>
      <c r="B206" s="2">
        <v>43670</v>
      </c>
      <c r="C206">
        <v>-0.4</v>
      </c>
      <c r="D206">
        <v>0.25</v>
      </c>
      <c r="E206" s="4">
        <v>0</v>
      </c>
    </row>
    <row r="207" spans="1:5" x14ac:dyDescent="0.35">
      <c r="A207" s="1">
        <v>43671</v>
      </c>
      <c r="B207" s="2">
        <v>43671</v>
      </c>
      <c r="C207">
        <v>-0.4</v>
      </c>
      <c r="D207">
        <v>0.25</v>
      </c>
      <c r="E207" s="4">
        <v>0</v>
      </c>
    </row>
    <row r="208" spans="1:5" x14ac:dyDescent="0.35">
      <c r="A208" s="1">
        <v>43672</v>
      </c>
      <c r="B208" s="2">
        <v>43672</v>
      </c>
      <c r="C208">
        <v>-0.4</v>
      </c>
      <c r="D208">
        <v>0.25</v>
      </c>
      <c r="E208" s="4">
        <v>0</v>
      </c>
    </row>
    <row r="209" spans="1:5" x14ac:dyDescent="0.35">
      <c r="A209" s="1">
        <v>43673</v>
      </c>
      <c r="B209" s="2">
        <v>43673</v>
      </c>
      <c r="C209">
        <v>-0.4</v>
      </c>
      <c r="D209">
        <v>0.25</v>
      </c>
      <c r="E209" s="4">
        <v>0</v>
      </c>
    </row>
    <row r="210" spans="1:5" x14ac:dyDescent="0.35">
      <c r="A210" s="1">
        <v>43674</v>
      </c>
      <c r="B210" s="2">
        <v>43674</v>
      </c>
      <c r="C210">
        <v>-0.4</v>
      </c>
      <c r="D210">
        <v>0.25</v>
      </c>
      <c r="E210" s="4">
        <v>0</v>
      </c>
    </row>
    <row r="211" spans="1:5" x14ac:dyDescent="0.35">
      <c r="A211" s="1">
        <v>43675</v>
      </c>
      <c r="B211" s="2">
        <v>43675</v>
      </c>
      <c r="C211">
        <v>-0.4</v>
      </c>
      <c r="D211">
        <v>0.25</v>
      </c>
      <c r="E211" s="4">
        <v>0</v>
      </c>
    </row>
    <row r="212" spans="1:5" x14ac:dyDescent="0.35">
      <c r="A212" s="1">
        <v>43676</v>
      </c>
      <c r="B212" s="2">
        <v>43676</v>
      </c>
      <c r="C212">
        <v>-0.4</v>
      </c>
      <c r="D212">
        <v>0.25</v>
      </c>
      <c r="E212" s="4">
        <v>0</v>
      </c>
    </row>
    <row r="213" spans="1:5" x14ac:dyDescent="0.35">
      <c r="A213" s="1">
        <v>43677</v>
      </c>
      <c r="B213" s="2">
        <v>43677</v>
      </c>
      <c r="C213">
        <v>-0.4</v>
      </c>
      <c r="D213">
        <v>0.25</v>
      </c>
      <c r="E213" s="4">
        <v>0</v>
      </c>
    </row>
    <row r="214" spans="1:5" x14ac:dyDescent="0.35">
      <c r="A214" s="1">
        <v>43678</v>
      </c>
      <c r="B214" s="2">
        <v>43678</v>
      </c>
      <c r="C214">
        <v>-0.4</v>
      </c>
      <c r="D214">
        <v>0.25</v>
      </c>
      <c r="E214" s="4">
        <v>0</v>
      </c>
    </row>
    <row r="215" spans="1:5" x14ac:dyDescent="0.35">
      <c r="A215" s="1">
        <v>43679</v>
      </c>
      <c r="B215" s="2">
        <v>43679</v>
      </c>
      <c r="C215">
        <v>-0.4</v>
      </c>
      <c r="D215">
        <v>0.25</v>
      </c>
      <c r="E215" s="4">
        <v>0</v>
      </c>
    </row>
    <row r="216" spans="1:5" x14ac:dyDescent="0.35">
      <c r="A216" s="1">
        <v>43680</v>
      </c>
      <c r="B216" s="2">
        <v>43680</v>
      </c>
      <c r="C216">
        <v>-0.4</v>
      </c>
      <c r="D216">
        <v>0.25</v>
      </c>
      <c r="E216" s="4">
        <v>0</v>
      </c>
    </row>
    <row r="217" spans="1:5" x14ac:dyDescent="0.35">
      <c r="A217" s="1">
        <v>43681</v>
      </c>
      <c r="B217" s="2">
        <v>43681</v>
      </c>
      <c r="C217">
        <v>-0.4</v>
      </c>
      <c r="D217">
        <v>0.25</v>
      </c>
      <c r="E217" s="4">
        <v>0</v>
      </c>
    </row>
    <row r="218" spans="1:5" x14ac:dyDescent="0.35">
      <c r="A218" s="1">
        <v>43682</v>
      </c>
      <c r="B218" s="2">
        <v>43682</v>
      </c>
      <c r="C218">
        <v>-0.4</v>
      </c>
      <c r="D218">
        <v>0.25</v>
      </c>
      <c r="E218" s="4">
        <v>0</v>
      </c>
    </row>
    <row r="219" spans="1:5" x14ac:dyDescent="0.35">
      <c r="A219" s="1">
        <v>43683</v>
      </c>
      <c r="B219" s="2">
        <v>43683</v>
      </c>
      <c r="C219">
        <v>-0.4</v>
      </c>
      <c r="D219">
        <v>0.25</v>
      </c>
      <c r="E219" s="4">
        <v>0</v>
      </c>
    </row>
    <row r="220" spans="1:5" x14ac:dyDescent="0.35">
      <c r="A220" s="1">
        <v>43684</v>
      </c>
      <c r="B220" s="2">
        <v>43684</v>
      </c>
      <c r="C220">
        <v>-0.4</v>
      </c>
      <c r="D220">
        <v>0.25</v>
      </c>
      <c r="E220" s="4">
        <v>0</v>
      </c>
    </row>
    <row r="221" spans="1:5" x14ac:dyDescent="0.35">
      <c r="A221" s="1">
        <v>43685</v>
      </c>
      <c r="B221" s="2">
        <v>43685</v>
      </c>
      <c r="C221">
        <v>-0.4</v>
      </c>
      <c r="D221">
        <v>0.25</v>
      </c>
      <c r="E221" s="4">
        <v>0</v>
      </c>
    </row>
    <row r="222" spans="1:5" x14ac:dyDescent="0.35">
      <c r="A222" s="1">
        <v>43686</v>
      </c>
      <c r="B222" s="2">
        <v>43686</v>
      </c>
      <c r="C222">
        <v>-0.4</v>
      </c>
      <c r="D222">
        <v>0.25</v>
      </c>
      <c r="E222" s="4">
        <v>0</v>
      </c>
    </row>
    <row r="223" spans="1:5" x14ac:dyDescent="0.35">
      <c r="A223" s="1">
        <v>43687</v>
      </c>
      <c r="B223" s="2">
        <v>43687</v>
      </c>
      <c r="C223">
        <v>-0.4</v>
      </c>
      <c r="D223">
        <v>0.25</v>
      </c>
      <c r="E223" s="4">
        <v>0</v>
      </c>
    </row>
    <row r="224" spans="1:5" x14ac:dyDescent="0.35">
      <c r="A224" s="1">
        <v>43688</v>
      </c>
      <c r="B224" s="2">
        <v>43688</v>
      </c>
      <c r="C224">
        <v>-0.4</v>
      </c>
      <c r="D224">
        <v>0.25</v>
      </c>
      <c r="E224" s="4">
        <v>0</v>
      </c>
    </row>
    <row r="225" spans="1:5" x14ac:dyDescent="0.35">
      <c r="A225" s="1">
        <v>43689</v>
      </c>
      <c r="B225" s="2">
        <v>43689</v>
      </c>
      <c r="C225">
        <v>-0.4</v>
      </c>
      <c r="D225">
        <v>0.25</v>
      </c>
      <c r="E225" s="4">
        <v>0</v>
      </c>
    </row>
    <row r="226" spans="1:5" x14ac:dyDescent="0.35">
      <c r="A226" s="1">
        <v>43690</v>
      </c>
      <c r="B226" s="2">
        <v>43690</v>
      </c>
      <c r="C226">
        <v>-0.4</v>
      </c>
      <c r="D226">
        <v>0.25</v>
      </c>
      <c r="E226" s="4">
        <v>0</v>
      </c>
    </row>
    <row r="227" spans="1:5" x14ac:dyDescent="0.35">
      <c r="A227" s="1">
        <v>43691</v>
      </c>
      <c r="B227" s="2">
        <v>43691</v>
      </c>
      <c r="C227">
        <v>-0.4</v>
      </c>
      <c r="D227">
        <v>0.25</v>
      </c>
      <c r="E227" s="4">
        <v>0</v>
      </c>
    </row>
    <row r="228" spans="1:5" x14ac:dyDescent="0.35">
      <c r="A228" s="1">
        <v>43692</v>
      </c>
      <c r="B228" s="2">
        <v>43692</v>
      </c>
      <c r="C228">
        <v>-0.4</v>
      </c>
      <c r="D228">
        <v>0.25</v>
      </c>
      <c r="E228" s="4">
        <v>0</v>
      </c>
    </row>
    <row r="229" spans="1:5" x14ac:dyDescent="0.35">
      <c r="A229" s="1">
        <v>43693</v>
      </c>
      <c r="B229" s="2">
        <v>43693</v>
      </c>
      <c r="C229">
        <v>-0.4</v>
      </c>
      <c r="D229">
        <v>0.25</v>
      </c>
      <c r="E229" s="4">
        <v>0</v>
      </c>
    </row>
    <row r="230" spans="1:5" x14ac:dyDescent="0.35">
      <c r="A230" s="1">
        <v>43694</v>
      </c>
      <c r="B230" s="2">
        <v>43694</v>
      </c>
      <c r="C230">
        <v>-0.4</v>
      </c>
      <c r="D230">
        <v>0.25</v>
      </c>
      <c r="E230" s="4">
        <v>0</v>
      </c>
    </row>
    <row r="231" spans="1:5" x14ac:dyDescent="0.35">
      <c r="A231" s="1">
        <v>43695</v>
      </c>
      <c r="B231" s="2">
        <v>43695</v>
      </c>
      <c r="C231">
        <v>-0.4</v>
      </c>
      <c r="D231">
        <v>0.25</v>
      </c>
      <c r="E231" s="4">
        <v>0</v>
      </c>
    </row>
    <row r="232" spans="1:5" x14ac:dyDescent="0.35">
      <c r="A232" s="1">
        <v>43696</v>
      </c>
      <c r="B232" s="2">
        <v>43696</v>
      </c>
      <c r="C232">
        <v>-0.4</v>
      </c>
      <c r="D232">
        <v>0.25</v>
      </c>
      <c r="E232" s="4">
        <v>0</v>
      </c>
    </row>
    <row r="233" spans="1:5" x14ac:dyDescent="0.35">
      <c r="A233" s="1">
        <v>43697</v>
      </c>
      <c r="B233" s="2">
        <v>43697</v>
      </c>
      <c r="C233">
        <v>-0.4</v>
      </c>
      <c r="D233">
        <v>0.25</v>
      </c>
      <c r="E233" s="4">
        <v>0</v>
      </c>
    </row>
    <row r="234" spans="1:5" x14ac:dyDescent="0.35">
      <c r="A234" s="1">
        <v>43698</v>
      </c>
      <c r="B234" s="2">
        <v>43698</v>
      </c>
      <c r="C234">
        <v>-0.4</v>
      </c>
      <c r="D234">
        <v>0.25</v>
      </c>
      <c r="E234" s="4">
        <v>0</v>
      </c>
    </row>
    <row r="235" spans="1:5" x14ac:dyDescent="0.35">
      <c r="A235" s="1">
        <v>43699</v>
      </c>
      <c r="B235" s="2">
        <v>43699</v>
      </c>
      <c r="C235">
        <v>-0.4</v>
      </c>
      <c r="D235">
        <v>0.25</v>
      </c>
      <c r="E235" s="4">
        <v>0</v>
      </c>
    </row>
    <row r="236" spans="1:5" x14ac:dyDescent="0.35">
      <c r="A236" s="1">
        <v>43700</v>
      </c>
      <c r="B236" s="2">
        <v>43700</v>
      </c>
      <c r="C236">
        <v>-0.4</v>
      </c>
      <c r="D236">
        <v>0.25</v>
      </c>
      <c r="E236" s="4">
        <v>0</v>
      </c>
    </row>
    <row r="237" spans="1:5" x14ac:dyDescent="0.35">
      <c r="A237" s="1">
        <v>43701</v>
      </c>
      <c r="B237" s="2">
        <v>43701</v>
      </c>
      <c r="C237">
        <v>-0.4</v>
      </c>
      <c r="D237">
        <v>0.25</v>
      </c>
      <c r="E237" s="4">
        <v>0</v>
      </c>
    </row>
    <row r="238" spans="1:5" x14ac:dyDescent="0.35">
      <c r="A238" s="1">
        <v>43702</v>
      </c>
      <c r="B238" s="2">
        <v>43702</v>
      </c>
      <c r="C238">
        <v>-0.4</v>
      </c>
      <c r="D238">
        <v>0.25</v>
      </c>
      <c r="E238" s="4">
        <v>0</v>
      </c>
    </row>
    <row r="239" spans="1:5" x14ac:dyDescent="0.35">
      <c r="A239" s="1">
        <v>43703</v>
      </c>
      <c r="B239" s="2">
        <v>43703</v>
      </c>
      <c r="C239">
        <v>-0.4</v>
      </c>
      <c r="D239">
        <v>0.25</v>
      </c>
      <c r="E239" s="4">
        <v>0</v>
      </c>
    </row>
    <row r="240" spans="1:5" x14ac:dyDescent="0.35">
      <c r="A240" s="1">
        <v>43704</v>
      </c>
      <c r="B240" s="2">
        <v>43704</v>
      </c>
      <c r="C240">
        <v>-0.4</v>
      </c>
      <c r="D240">
        <v>0.25</v>
      </c>
      <c r="E240" s="4">
        <v>0</v>
      </c>
    </row>
    <row r="241" spans="1:5" x14ac:dyDescent="0.35">
      <c r="A241" s="1">
        <v>43705</v>
      </c>
      <c r="B241" s="2">
        <v>43705</v>
      </c>
      <c r="C241">
        <v>-0.4</v>
      </c>
      <c r="D241">
        <v>0.25</v>
      </c>
      <c r="E241" s="4">
        <v>0</v>
      </c>
    </row>
    <row r="242" spans="1:5" x14ac:dyDescent="0.35">
      <c r="A242" s="1">
        <v>43706</v>
      </c>
      <c r="B242" s="2">
        <v>43706</v>
      </c>
      <c r="C242">
        <v>-0.4</v>
      </c>
      <c r="D242">
        <v>0.25</v>
      </c>
      <c r="E242" s="4">
        <v>0</v>
      </c>
    </row>
    <row r="243" spans="1:5" x14ac:dyDescent="0.35">
      <c r="A243" s="1">
        <v>43707</v>
      </c>
      <c r="B243" s="2">
        <v>43707</v>
      </c>
      <c r="C243">
        <v>-0.4</v>
      </c>
      <c r="D243">
        <v>0.25</v>
      </c>
      <c r="E243" s="4">
        <v>0</v>
      </c>
    </row>
    <row r="244" spans="1:5" x14ac:dyDescent="0.35">
      <c r="A244" s="1">
        <v>43708</v>
      </c>
      <c r="B244" s="2">
        <v>43708</v>
      </c>
      <c r="C244">
        <v>-0.4</v>
      </c>
      <c r="D244">
        <v>0.25</v>
      </c>
      <c r="E244" s="4">
        <v>0</v>
      </c>
    </row>
    <row r="245" spans="1:5" x14ac:dyDescent="0.35">
      <c r="A245" s="1">
        <v>43709</v>
      </c>
      <c r="B245" s="2">
        <v>43709</v>
      </c>
      <c r="C245">
        <v>-0.4</v>
      </c>
      <c r="D245">
        <v>0.25</v>
      </c>
      <c r="E245" s="4">
        <v>0</v>
      </c>
    </row>
    <row r="246" spans="1:5" x14ac:dyDescent="0.35">
      <c r="A246" s="1">
        <v>43710</v>
      </c>
      <c r="B246" s="2">
        <v>43710</v>
      </c>
      <c r="C246">
        <v>-0.4</v>
      </c>
      <c r="D246">
        <v>0.25</v>
      </c>
      <c r="E246" s="4">
        <v>0</v>
      </c>
    </row>
    <row r="247" spans="1:5" x14ac:dyDescent="0.35">
      <c r="A247" s="1">
        <v>43711</v>
      </c>
      <c r="B247" s="2">
        <v>43711</v>
      </c>
      <c r="C247">
        <v>-0.4</v>
      </c>
      <c r="D247">
        <v>0.25</v>
      </c>
      <c r="E247" s="4">
        <v>0</v>
      </c>
    </row>
    <row r="248" spans="1:5" x14ac:dyDescent="0.35">
      <c r="A248" s="1">
        <v>43712</v>
      </c>
      <c r="B248" s="2">
        <v>43712</v>
      </c>
      <c r="C248">
        <v>-0.4</v>
      </c>
      <c r="D248">
        <v>0.25</v>
      </c>
      <c r="E248" s="4">
        <v>0</v>
      </c>
    </row>
    <row r="249" spans="1:5" x14ac:dyDescent="0.35">
      <c r="A249" s="1">
        <v>43713</v>
      </c>
      <c r="B249" s="2">
        <v>43713</v>
      </c>
      <c r="C249">
        <v>-0.4</v>
      </c>
      <c r="D249">
        <v>0.25</v>
      </c>
      <c r="E249" s="4">
        <v>0</v>
      </c>
    </row>
    <row r="250" spans="1:5" x14ac:dyDescent="0.35">
      <c r="A250" s="1">
        <v>43714</v>
      </c>
      <c r="B250" s="2">
        <v>43714</v>
      </c>
      <c r="C250">
        <v>-0.4</v>
      </c>
      <c r="D250">
        <v>0.25</v>
      </c>
      <c r="E250" s="4">
        <v>0</v>
      </c>
    </row>
    <row r="251" spans="1:5" x14ac:dyDescent="0.35">
      <c r="A251" s="1">
        <v>43715</v>
      </c>
      <c r="B251" s="2">
        <v>43715</v>
      </c>
      <c r="C251">
        <v>-0.4</v>
      </c>
      <c r="D251">
        <v>0.25</v>
      </c>
      <c r="E251" s="4">
        <v>0</v>
      </c>
    </row>
    <row r="252" spans="1:5" x14ac:dyDescent="0.35">
      <c r="A252" s="1">
        <v>43716</v>
      </c>
      <c r="B252" s="2">
        <v>43716</v>
      </c>
      <c r="C252">
        <v>-0.4</v>
      </c>
      <c r="D252">
        <v>0.25</v>
      </c>
      <c r="E252" s="4">
        <v>0</v>
      </c>
    </row>
    <row r="253" spans="1:5" x14ac:dyDescent="0.35">
      <c r="A253" s="1">
        <v>43717</v>
      </c>
      <c r="B253" s="2">
        <v>43717</v>
      </c>
      <c r="C253">
        <v>-0.4</v>
      </c>
      <c r="D253">
        <v>0.25</v>
      </c>
      <c r="E253" s="4">
        <v>0</v>
      </c>
    </row>
    <row r="254" spans="1:5" x14ac:dyDescent="0.35">
      <c r="A254" s="1">
        <v>43718</v>
      </c>
      <c r="B254" s="2">
        <v>43718</v>
      </c>
      <c r="C254">
        <v>-0.4</v>
      </c>
      <c r="D254">
        <v>0.25</v>
      </c>
      <c r="E254" s="4">
        <v>0</v>
      </c>
    </row>
    <row r="255" spans="1:5" x14ac:dyDescent="0.35">
      <c r="A255" s="1">
        <v>43719</v>
      </c>
      <c r="B255" s="2">
        <v>43719</v>
      </c>
      <c r="C255">
        <v>-0.4</v>
      </c>
      <c r="D255">
        <v>0.25</v>
      </c>
      <c r="E255" s="4">
        <v>0</v>
      </c>
    </row>
    <row r="256" spans="1:5" x14ac:dyDescent="0.35">
      <c r="A256" s="1">
        <v>43720</v>
      </c>
      <c r="B256" s="2">
        <v>43720</v>
      </c>
      <c r="C256">
        <v>-0.4</v>
      </c>
      <c r="D256">
        <v>0.25</v>
      </c>
      <c r="E256" s="4">
        <v>0</v>
      </c>
    </row>
    <row r="257" spans="1:5" x14ac:dyDescent="0.35">
      <c r="A257" s="1">
        <v>43721</v>
      </c>
      <c r="B257" s="2">
        <v>43721</v>
      </c>
      <c r="C257">
        <v>-0.4</v>
      </c>
      <c r="D257">
        <v>0.25</v>
      </c>
      <c r="E257" s="4">
        <v>0</v>
      </c>
    </row>
    <row r="258" spans="1:5" x14ac:dyDescent="0.35">
      <c r="A258" s="1">
        <v>43722</v>
      </c>
      <c r="B258" s="2">
        <v>43722</v>
      </c>
      <c r="C258">
        <v>-0.4</v>
      </c>
      <c r="D258">
        <v>0.25</v>
      </c>
      <c r="E258" s="4">
        <v>0</v>
      </c>
    </row>
    <row r="259" spans="1:5" x14ac:dyDescent="0.35">
      <c r="A259" s="1">
        <v>43723</v>
      </c>
      <c r="B259" s="2">
        <v>43723</v>
      </c>
      <c r="C259">
        <v>-0.4</v>
      </c>
      <c r="D259">
        <v>0.25</v>
      </c>
      <c r="E259" s="4">
        <v>0</v>
      </c>
    </row>
    <row r="260" spans="1:5" x14ac:dyDescent="0.35">
      <c r="A260" s="1">
        <v>43724</v>
      </c>
      <c r="B260" s="2">
        <v>43724</v>
      </c>
      <c r="C260">
        <v>-0.4</v>
      </c>
      <c r="D260">
        <v>0.25</v>
      </c>
      <c r="E260" s="4">
        <v>0</v>
      </c>
    </row>
    <row r="261" spans="1:5" x14ac:dyDescent="0.35">
      <c r="A261" s="1">
        <v>43725</v>
      </c>
      <c r="B261" s="2">
        <v>43725</v>
      </c>
      <c r="C261">
        <v>-0.4</v>
      </c>
      <c r="D261">
        <v>0.25</v>
      </c>
      <c r="E261" s="4">
        <v>0</v>
      </c>
    </row>
    <row r="262" spans="1:5" x14ac:dyDescent="0.35">
      <c r="A262" s="1">
        <v>43726</v>
      </c>
      <c r="B262" s="2">
        <v>43726</v>
      </c>
      <c r="C262">
        <v>-0.5</v>
      </c>
      <c r="D262">
        <v>0.25</v>
      </c>
      <c r="E262" s="4">
        <v>0</v>
      </c>
    </row>
    <row r="263" spans="1:5" x14ac:dyDescent="0.35">
      <c r="A263" s="1">
        <v>43727</v>
      </c>
      <c r="B263" s="2">
        <v>43727</v>
      </c>
      <c r="C263">
        <v>-0.5</v>
      </c>
      <c r="D263">
        <v>0.25</v>
      </c>
      <c r="E263" s="4">
        <v>0</v>
      </c>
    </row>
    <row r="264" spans="1:5" x14ac:dyDescent="0.35">
      <c r="A264" s="1">
        <v>43728</v>
      </c>
      <c r="B264" s="2">
        <v>43728</v>
      </c>
      <c r="C264">
        <v>-0.5</v>
      </c>
      <c r="D264">
        <v>0.25</v>
      </c>
      <c r="E264" s="4">
        <v>0</v>
      </c>
    </row>
    <row r="265" spans="1:5" x14ac:dyDescent="0.35">
      <c r="A265" s="1">
        <v>43729</v>
      </c>
      <c r="B265" s="2">
        <v>43729</v>
      </c>
      <c r="C265">
        <v>-0.5</v>
      </c>
      <c r="D265">
        <v>0.25</v>
      </c>
      <c r="E265" s="4">
        <v>0</v>
      </c>
    </row>
    <row r="266" spans="1:5" x14ac:dyDescent="0.35">
      <c r="A266" s="1">
        <v>43730</v>
      </c>
      <c r="B266" s="2">
        <v>43730</v>
      </c>
      <c r="C266">
        <v>-0.5</v>
      </c>
      <c r="D266">
        <v>0.25</v>
      </c>
      <c r="E266" s="4">
        <v>0</v>
      </c>
    </row>
    <row r="267" spans="1:5" x14ac:dyDescent="0.35">
      <c r="A267" s="1">
        <v>43731</v>
      </c>
      <c r="B267" s="2">
        <v>43731</v>
      </c>
      <c r="C267">
        <v>-0.5</v>
      </c>
      <c r="D267">
        <v>0.25</v>
      </c>
      <c r="E267" s="4">
        <v>0</v>
      </c>
    </row>
    <row r="268" spans="1:5" x14ac:dyDescent="0.35">
      <c r="A268" s="1">
        <v>43732</v>
      </c>
      <c r="B268" s="2">
        <v>43732</v>
      </c>
      <c r="C268">
        <v>-0.5</v>
      </c>
      <c r="D268">
        <v>0.25</v>
      </c>
      <c r="E268" s="4">
        <v>0</v>
      </c>
    </row>
    <row r="269" spans="1:5" x14ac:dyDescent="0.35">
      <c r="A269" s="1">
        <v>43733</v>
      </c>
      <c r="B269" s="2">
        <v>43733</v>
      </c>
      <c r="C269">
        <v>-0.5</v>
      </c>
      <c r="D269">
        <v>0.25</v>
      </c>
      <c r="E269" s="4">
        <v>0</v>
      </c>
    </row>
    <row r="270" spans="1:5" x14ac:dyDescent="0.35">
      <c r="A270" s="1">
        <v>43734</v>
      </c>
      <c r="B270" s="2">
        <v>43734</v>
      </c>
      <c r="C270">
        <v>-0.5</v>
      </c>
      <c r="D270">
        <v>0.25</v>
      </c>
      <c r="E270" s="4">
        <v>0</v>
      </c>
    </row>
    <row r="271" spans="1:5" x14ac:dyDescent="0.35">
      <c r="A271" s="1">
        <v>43735</v>
      </c>
      <c r="B271" s="2">
        <v>43735</v>
      </c>
      <c r="C271">
        <v>-0.5</v>
      </c>
      <c r="D271">
        <v>0.25</v>
      </c>
      <c r="E271" s="4">
        <v>0</v>
      </c>
    </row>
    <row r="272" spans="1:5" x14ac:dyDescent="0.35">
      <c r="A272" s="1">
        <v>43736</v>
      </c>
      <c r="B272" s="2">
        <v>43736</v>
      </c>
      <c r="C272">
        <v>-0.5</v>
      </c>
      <c r="D272">
        <v>0.25</v>
      </c>
      <c r="E272" s="4">
        <v>0</v>
      </c>
    </row>
    <row r="273" spans="1:5" x14ac:dyDescent="0.35">
      <c r="A273" s="1">
        <v>43737</v>
      </c>
      <c r="B273" s="2">
        <v>43737</v>
      </c>
      <c r="C273">
        <v>-0.5</v>
      </c>
      <c r="D273">
        <v>0.25</v>
      </c>
      <c r="E273" s="4">
        <v>0</v>
      </c>
    </row>
    <row r="274" spans="1:5" x14ac:dyDescent="0.35">
      <c r="A274" s="1">
        <v>43738</v>
      </c>
      <c r="B274" s="2">
        <v>43738</v>
      </c>
      <c r="C274">
        <v>-0.5</v>
      </c>
      <c r="D274">
        <v>0.25</v>
      </c>
      <c r="E274" s="4">
        <v>0</v>
      </c>
    </row>
    <row r="275" spans="1:5" x14ac:dyDescent="0.35">
      <c r="A275" s="1">
        <v>43739</v>
      </c>
      <c r="B275" s="2">
        <v>43739</v>
      </c>
      <c r="C275">
        <v>-0.5</v>
      </c>
      <c r="D275">
        <v>0.25</v>
      </c>
      <c r="E275" s="4">
        <v>0</v>
      </c>
    </row>
    <row r="276" spans="1:5" x14ac:dyDescent="0.35">
      <c r="A276" s="1">
        <v>43740</v>
      </c>
      <c r="B276" s="2">
        <v>43740</v>
      </c>
      <c r="C276">
        <v>-0.5</v>
      </c>
      <c r="D276">
        <v>0.25</v>
      </c>
      <c r="E276" s="4">
        <v>0</v>
      </c>
    </row>
    <row r="277" spans="1:5" x14ac:dyDescent="0.35">
      <c r="A277" s="1">
        <v>43741</v>
      </c>
      <c r="B277" s="2">
        <v>43741</v>
      </c>
      <c r="C277">
        <v>-0.5</v>
      </c>
      <c r="D277">
        <v>0.25</v>
      </c>
      <c r="E277" s="4">
        <v>0</v>
      </c>
    </row>
    <row r="278" spans="1:5" x14ac:dyDescent="0.35">
      <c r="A278" s="1">
        <v>43742</v>
      </c>
      <c r="B278" s="2">
        <v>43742</v>
      </c>
      <c r="C278">
        <v>-0.5</v>
      </c>
      <c r="D278">
        <v>0.25</v>
      </c>
      <c r="E278" s="4">
        <v>0</v>
      </c>
    </row>
    <row r="279" spans="1:5" x14ac:dyDescent="0.35">
      <c r="A279" s="1">
        <v>43743</v>
      </c>
      <c r="B279" s="2">
        <v>43743</v>
      </c>
      <c r="C279">
        <v>-0.5</v>
      </c>
      <c r="D279">
        <v>0.25</v>
      </c>
      <c r="E279" s="4">
        <v>0</v>
      </c>
    </row>
    <row r="280" spans="1:5" x14ac:dyDescent="0.35">
      <c r="A280" s="1">
        <v>43744</v>
      </c>
      <c r="B280" s="2">
        <v>43744</v>
      </c>
      <c r="C280">
        <v>-0.5</v>
      </c>
      <c r="D280">
        <v>0.25</v>
      </c>
      <c r="E280" s="4">
        <v>0</v>
      </c>
    </row>
    <row r="281" spans="1:5" x14ac:dyDescent="0.35">
      <c r="A281" s="1">
        <v>43745</v>
      </c>
      <c r="B281" s="2">
        <v>43745</v>
      </c>
      <c r="C281">
        <v>-0.5</v>
      </c>
      <c r="D281">
        <v>0.25</v>
      </c>
      <c r="E281" s="4">
        <v>0</v>
      </c>
    </row>
    <row r="282" spans="1:5" x14ac:dyDescent="0.35">
      <c r="A282" s="1">
        <v>43746</v>
      </c>
      <c r="B282" s="2">
        <v>43746</v>
      </c>
      <c r="C282">
        <v>-0.5</v>
      </c>
      <c r="D282">
        <v>0.25</v>
      </c>
      <c r="E282" s="4">
        <v>0</v>
      </c>
    </row>
    <row r="283" spans="1:5" x14ac:dyDescent="0.35">
      <c r="A283" s="1">
        <v>43747</v>
      </c>
      <c r="B283" s="2">
        <v>43747</v>
      </c>
      <c r="C283">
        <v>-0.5</v>
      </c>
      <c r="D283">
        <v>0.25</v>
      </c>
      <c r="E283" s="4">
        <v>0</v>
      </c>
    </row>
    <row r="284" spans="1:5" x14ac:dyDescent="0.35">
      <c r="A284" s="1">
        <v>43748</v>
      </c>
      <c r="B284" s="2">
        <v>43748</v>
      </c>
      <c r="C284">
        <v>-0.5</v>
      </c>
      <c r="D284">
        <v>0.25</v>
      </c>
      <c r="E284" s="4">
        <v>0</v>
      </c>
    </row>
    <row r="285" spans="1:5" x14ac:dyDescent="0.35">
      <c r="A285" s="1">
        <v>43749</v>
      </c>
      <c r="B285" s="2">
        <v>43749</v>
      </c>
      <c r="C285">
        <v>-0.5</v>
      </c>
      <c r="D285">
        <v>0.25</v>
      </c>
      <c r="E285" s="4">
        <v>0</v>
      </c>
    </row>
    <row r="286" spans="1:5" x14ac:dyDescent="0.35">
      <c r="A286" s="1">
        <v>43750</v>
      </c>
      <c r="B286" s="2">
        <v>43750</v>
      </c>
      <c r="C286">
        <v>-0.5</v>
      </c>
      <c r="D286">
        <v>0.25</v>
      </c>
      <c r="E286" s="4">
        <v>0</v>
      </c>
    </row>
    <row r="287" spans="1:5" x14ac:dyDescent="0.35">
      <c r="A287" s="1">
        <v>43751</v>
      </c>
      <c r="B287" s="2">
        <v>43751</v>
      </c>
      <c r="C287">
        <v>-0.5</v>
      </c>
      <c r="D287">
        <v>0.25</v>
      </c>
      <c r="E287" s="4">
        <v>0</v>
      </c>
    </row>
    <row r="288" spans="1:5" x14ac:dyDescent="0.35">
      <c r="A288" s="1">
        <v>43752</v>
      </c>
      <c r="B288" s="2">
        <v>43752</v>
      </c>
      <c r="C288">
        <v>-0.5</v>
      </c>
      <c r="D288">
        <v>0.25</v>
      </c>
      <c r="E288" s="4">
        <v>0</v>
      </c>
    </row>
    <row r="289" spans="1:5" x14ac:dyDescent="0.35">
      <c r="A289" s="1">
        <v>43753</v>
      </c>
      <c r="B289" s="2">
        <v>43753</v>
      </c>
      <c r="C289">
        <v>-0.5</v>
      </c>
      <c r="D289">
        <v>0.25</v>
      </c>
      <c r="E289" s="4">
        <v>0</v>
      </c>
    </row>
    <row r="290" spans="1:5" x14ac:dyDescent="0.35">
      <c r="A290" s="1">
        <v>43754</v>
      </c>
      <c r="B290" s="2">
        <v>43754</v>
      </c>
      <c r="C290">
        <v>-0.5</v>
      </c>
      <c r="D290">
        <v>0.25</v>
      </c>
      <c r="E290" s="4">
        <v>0</v>
      </c>
    </row>
    <row r="291" spans="1:5" x14ac:dyDescent="0.35">
      <c r="A291" s="1">
        <v>43755</v>
      </c>
      <c r="B291" s="2">
        <v>43755</v>
      </c>
      <c r="C291">
        <v>-0.5</v>
      </c>
      <c r="D291">
        <v>0.25</v>
      </c>
      <c r="E291" s="4">
        <v>0</v>
      </c>
    </row>
    <row r="292" spans="1:5" x14ac:dyDescent="0.35">
      <c r="A292" s="1">
        <v>43756</v>
      </c>
      <c r="B292" s="2">
        <v>43756</v>
      </c>
      <c r="C292">
        <v>-0.5</v>
      </c>
      <c r="D292">
        <v>0.25</v>
      </c>
      <c r="E292" s="4">
        <v>0</v>
      </c>
    </row>
    <row r="293" spans="1:5" x14ac:dyDescent="0.35">
      <c r="A293" s="1">
        <v>43757</v>
      </c>
      <c r="B293" s="2">
        <v>43757</v>
      </c>
      <c r="C293">
        <v>-0.5</v>
      </c>
      <c r="D293">
        <v>0.25</v>
      </c>
      <c r="E293" s="4">
        <v>0</v>
      </c>
    </row>
    <row r="294" spans="1:5" x14ac:dyDescent="0.35">
      <c r="A294" s="1">
        <v>43758</v>
      </c>
      <c r="B294" s="2">
        <v>43758</v>
      </c>
      <c r="C294">
        <v>-0.5</v>
      </c>
      <c r="D294">
        <v>0.25</v>
      </c>
      <c r="E294" s="4">
        <v>0</v>
      </c>
    </row>
    <row r="295" spans="1:5" x14ac:dyDescent="0.35">
      <c r="A295" s="1">
        <v>43759</v>
      </c>
      <c r="B295" s="2">
        <v>43759</v>
      </c>
      <c r="C295">
        <v>-0.5</v>
      </c>
      <c r="D295">
        <v>0.25</v>
      </c>
      <c r="E295" s="4">
        <v>0</v>
      </c>
    </row>
    <row r="296" spans="1:5" x14ac:dyDescent="0.35">
      <c r="A296" s="1">
        <v>43760</v>
      </c>
      <c r="B296" s="2">
        <v>43760</v>
      </c>
      <c r="C296">
        <v>-0.5</v>
      </c>
      <c r="D296">
        <v>0.25</v>
      </c>
      <c r="E296" s="4">
        <v>0</v>
      </c>
    </row>
    <row r="297" spans="1:5" x14ac:dyDescent="0.35">
      <c r="A297" s="1">
        <v>43761</v>
      </c>
      <c r="B297" s="2">
        <v>43761</v>
      </c>
      <c r="C297">
        <v>-0.5</v>
      </c>
      <c r="D297">
        <v>0.25</v>
      </c>
      <c r="E297" s="4">
        <v>0</v>
      </c>
    </row>
    <row r="298" spans="1:5" x14ac:dyDescent="0.35">
      <c r="A298" s="1">
        <v>43762</v>
      </c>
      <c r="B298" s="2">
        <v>43762</v>
      </c>
      <c r="C298">
        <v>-0.5</v>
      </c>
      <c r="D298">
        <v>0.25</v>
      </c>
      <c r="E298" s="4">
        <v>0</v>
      </c>
    </row>
    <row r="299" spans="1:5" x14ac:dyDescent="0.35">
      <c r="A299" s="1">
        <v>43763</v>
      </c>
      <c r="B299" s="2">
        <v>43763</v>
      </c>
      <c r="C299">
        <v>-0.5</v>
      </c>
      <c r="D299">
        <v>0.25</v>
      </c>
      <c r="E299" s="4">
        <v>0</v>
      </c>
    </row>
    <row r="300" spans="1:5" x14ac:dyDescent="0.35">
      <c r="A300" s="1">
        <v>43764</v>
      </c>
      <c r="B300" s="2">
        <v>43764</v>
      </c>
      <c r="C300">
        <v>-0.5</v>
      </c>
      <c r="D300">
        <v>0.25</v>
      </c>
      <c r="E300" s="4">
        <v>0</v>
      </c>
    </row>
    <row r="301" spans="1:5" x14ac:dyDescent="0.35">
      <c r="A301" s="1">
        <v>43765</v>
      </c>
      <c r="B301" s="2">
        <v>43765</v>
      </c>
      <c r="C301">
        <v>-0.5</v>
      </c>
      <c r="D301">
        <v>0.25</v>
      </c>
      <c r="E301" s="4">
        <v>0</v>
      </c>
    </row>
    <row r="302" spans="1:5" x14ac:dyDescent="0.35">
      <c r="A302" s="1">
        <v>43766</v>
      </c>
      <c r="B302" s="2">
        <v>43766</v>
      </c>
      <c r="C302">
        <v>-0.5</v>
      </c>
      <c r="D302">
        <v>0.25</v>
      </c>
      <c r="E302" s="4">
        <v>0</v>
      </c>
    </row>
    <row r="303" spans="1:5" x14ac:dyDescent="0.35">
      <c r="A303" s="1">
        <v>43767</v>
      </c>
      <c r="B303" s="2">
        <v>43767</v>
      </c>
      <c r="C303">
        <v>-0.5</v>
      </c>
      <c r="D303">
        <v>0.25</v>
      </c>
      <c r="E303" s="4">
        <v>0</v>
      </c>
    </row>
    <row r="304" spans="1:5" x14ac:dyDescent="0.35">
      <c r="A304" s="1">
        <v>43768</v>
      </c>
      <c r="B304" s="2">
        <v>43768</v>
      </c>
      <c r="C304">
        <v>-0.5</v>
      </c>
      <c r="D304">
        <v>0.25</v>
      </c>
      <c r="E304" s="4">
        <v>0</v>
      </c>
    </row>
    <row r="305" spans="1:5" x14ac:dyDescent="0.35">
      <c r="A305" s="1">
        <v>43769</v>
      </c>
      <c r="B305" s="2">
        <v>43769</v>
      </c>
      <c r="C305">
        <v>-0.5</v>
      </c>
      <c r="D305">
        <v>0.25</v>
      </c>
      <c r="E305" s="4">
        <v>0</v>
      </c>
    </row>
    <row r="306" spans="1:5" x14ac:dyDescent="0.35">
      <c r="A306" s="1">
        <v>43770</v>
      </c>
      <c r="B306" s="2">
        <v>43770</v>
      </c>
      <c r="C306">
        <v>-0.5</v>
      </c>
      <c r="D306">
        <v>0.25</v>
      </c>
      <c r="E306" s="4">
        <v>0</v>
      </c>
    </row>
    <row r="307" spans="1:5" x14ac:dyDescent="0.35">
      <c r="A307" s="1">
        <v>43771</v>
      </c>
      <c r="B307" s="2">
        <v>43771</v>
      </c>
      <c r="C307">
        <v>-0.5</v>
      </c>
      <c r="D307">
        <v>0.25</v>
      </c>
      <c r="E307" s="4">
        <v>0</v>
      </c>
    </row>
    <row r="308" spans="1:5" x14ac:dyDescent="0.35">
      <c r="A308" s="1">
        <v>43772</v>
      </c>
      <c r="B308" s="2">
        <v>43772</v>
      </c>
      <c r="C308">
        <v>-0.5</v>
      </c>
      <c r="D308">
        <v>0.25</v>
      </c>
      <c r="E308" s="4">
        <v>0</v>
      </c>
    </row>
    <row r="309" spans="1:5" x14ac:dyDescent="0.35">
      <c r="A309" s="1">
        <v>43773</v>
      </c>
      <c r="B309" s="2">
        <v>43773</v>
      </c>
      <c r="C309">
        <v>-0.5</v>
      </c>
      <c r="D309">
        <v>0.25</v>
      </c>
      <c r="E309" s="4">
        <v>0</v>
      </c>
    </row>
    <row r="310" spans="1:5" x14ac:dyDescent="0.35">
      <c r="A310" s="1">
        <v>43774</v>
      </c>
      <c r="B310" s="2">
        <v>43774</v>
      </c>
      <c r="C310">
        <v>-0.5</v>
      </c>
      <c r="D310">
        <v>0.25</v>
      </c>
      <c r="E310" s="4">
        <v>0</v>
      </c>
    </row>
    <row r="311" spans="1:5" x14ac:dyDescent="0.35">
      <c r="A311" s="1">
        <v>43775</v>
      </c>
      <c r="B311" s="2">
        <v>43775</v>
      </c>
      <c r="C311">
        <v>-0.5</v>
      </c>
      <c r="D311">
        <v>0.25</v>
      </c>
      <c r="E311" s="4">
        <v>0</v>
      </c>
    </row>
    <row r="312" spans="1:5" x14ac:dyDescent="0.35">
      <c r="A312" s="1">
        <v>43776</v>
      </c>
      <c r="B312" s="2">
        <v>43776</v>
      </c>
      <c r="C312">
        <v>-0.5</v>
      </c>
      <c r="D312">
        <v>0.25</v>
      </c>
      <c r="E312" s="4">
        <v>0</v>
      </c>
    </row>
    <row r="313" spans="1:5" x14ac:dyDescent="0.35">
      <c r="A313" s="1">
        <v>43777</v>
      </c>
      <c r="B313" s="2">
        <v>43777</v>
      </c>
      <c r="C313">
        <v>-0.5</v>
      </c>
      <c r="D313">
        <v>0.25</v>
      </c>
      <c r="E313" s="4">
        <v>0</v>
      </c>
    </row>
    <row r="314" spans="1:5" x14ac:dyDescent="0.35">
      <c r="A314" s="1">
        <v>43778</v>
      </c>
      <c r="B314" s="2">
        <v>43778</v>
      </c>
      <c r="C314">
        <v>-0.5</v>
      </c>
      <c r="D314">
        <v>0.25</v>
      </c>
      <c r="E314" s="4">
        <v>0</v>
      </c>
    </row>
    <row r="315" spans="1:5" x14ac:dyDescent="0.35">
      <c r="A315" s="1">
        <v>43779</v>
      </c>
      <c r="B315" s="2">
        <v>43779</v>
      </c>
      <c r="C315">
        <v>-0.5</v>
      </c>
      <c r="D315">
        <v>0.25</v>
      </c>
      <c r="E315" s="4">
        <v>0</v>
      </c>
    </row>
    <row r="316" spans="1:5" x14ac:dyDescent="0.35">
      <c r="A316" s="1">
        <v>43780</v>
      </c>
      <c r="B316" s="2">
        <v>43780</v>
      </c>
      <c r="C316">
        <v>-0.5</v>
      </c>
      <c r="D316">
        <v>0.25</v>
      </c>
      <c r="E316" s="4">
        <v>0</v>
      </c>
    </row>
    <row r="317" spans="1:5" x14ac:dyDescent="0.35">
      <c r="A317" s="1">
        <v>43781</v>
      </c>
      <c r="B317" s="2">
        <v>43781</v>
      </c>
      <c r="C317">
        <v>-0.5</v>
      </c>
      <c r="D317">
        <v>0.25</v>
      </c>
      <c r="E317" s="4">
        <v>0</v>
      </c>
    </row>
    <row r="318" spans="1:5" x14ac:dyDescent="0.35">
      <c r="A318" s="1">
        <v>43782</v>
      </c>
      <c r="B318" s="2">
        <v>43782</v>
      </c>
      <c r="C318">
        <v>-0.5</v>
      </c>
      <c r="D318">
        <v>0.25</v>
      </c>
      <c r="E318" s="4">
        <v>0</v>
      </c>
    </row>
    <row r="319" spans="1:5" x14ac:dyDescent="0.35">
      <c r="A319" s="1">
        <v>43783</v>
      </c>
      <c r="B319" s="2">
        <v>43783</v>
      </c>
      <c r="C319">
        <v>-0.5</v>
      </c>
      <c r="D319">
        <v>0.25</v>
      </c>
      <c r="E319" s="4">
        <v>0</v>
      </c>
    </row>
    <row r="320" spans="1:5" x14ac:dyDescent="0.35">
      <c r="A320" s="1">
        <v>43784</v>
      </c>
      <c r="B320" s="2">
        <v>43784</v>
      </c>
      <c r="C320">
        <v>-0.5</v>
      </c>
      <c r="D320">
        <v>0.25</v>
      </c>
      <c r="E320" s="4">
        <v>0</v>
      </c>
    </row>
    <row r="321" spans="1:5" x14ac:dyDescent="0.35">
      <c r="A321" s="1">
        <v>43785</v>
      </c>
      <c r="B321" s="2">
        <v>43785</v>
      </c>
      <c r="C321">
        <v>-0.5</v>
      </c>
      <c r="D321">
        <v>0.25</v>
      </c>
      <c r="E321" s="4">
        <v>0</v>
      </c>
    </row>
    <row r="322" spans="1:5" x14ac:dyDescent="0.35">
      <c r="A322" s="1">
        <v>43786</v>
      </c>
      <c r="B322" s="2">
        <v>43786</v>
      </c>
      <c r="C322">
        <v>-0.5</v>
      </c>
      <c r="D322">
        <v>0.25</v>
      </c>
      <c r="E322" s="4">
        <v>0</v>
      </c>
    </row>
    <row r="323" spans="1:5" x14ac:dyDescent="0.35">
      <c r="A323" s="1">
        <v>43787</v>
      </c>
      <c r="B323" s="2">
        <v>43787</v>
      </c>
      <c r="C323">
        <v>-0.5</v>
      </c>
      <c r="D323">
        <v>0.25</v>
      </c>
      <c r="E323" s="4">
        <v>0</v>
      </c>
    </row>
    <row r="324" spans="1:5" x14ac:dyDescent="0.35">
      <c r="A324" s="1">
        <v>43788</v>
      </c>
      <c r="B324" s="2">
        <v>43788</v>
      </c>
      <c r="C324">
        <v>-0.5</v>
      </c>
      <c r="D324">
        <v>0.25</v>
      </c>
      <c r="E324" s="4">
        <v>0</v>
      </c>
    </row>
    <row r="325" spans="1:5" x14ac:dyDescent="0.35">
      <c r="A325" s="1">
        <v>43789</v>
      </c>
      <c r="B325" s="2">
        <v>43789</v>
      </c>
      <c r="C325">
        <v>-0.5</v>
      </c>
      <c r="D325">
        <v>0.25</v>
      </c>
      <c r="E325" s="4">
        <v>0</v>
      </c>
    </row>
    <row r="326" spans="1:5" x14ac:dyDescent="0.35">
      <c r="A326" s="1">
        <v>43790</v>
      </c>
      <c r="B326" s="2">
        <v>43790</v>
      </c>
      <c r="C326">
        <v>-0.5</v>
      </c>
      <c r="D326">
        <v>0.25</v>
      </c>
      <c r="E326" s="4">
        <v>0</v>
      </c>
    </row>
    <row r="327" spans="1:5" x14ac:dyDescent="0.35">
      <c r="A327" s="1">
        <v>43791</v>
      </c>
      <c r="B327" s="2">
        <v>43791</v>
      </c>
      <c r="C327">
        <v>-0.5</v>
      </c>
      <c r="D327">
        <v>0.25</v>
      </c>
      <c r="E327" s="4">
        <v>0</v>
      </c>
    </row>
    <row r="328" spans="1:5" x14ac:dyDescent="0.35">
      <c r="A328" s="1">
        <v>43792</v>
      </c>
      <c r="B328" s="2">
        <v>43792</v>
      </c>
      <c r="C328">
        <v>-0.5</v>
      </c>
      <c r="D328">
        <v>0.25</v>
      </c>
      <c r="E328" s="4">
        <v>0</v>
      </c>
    </row>
    <row r="329" spans="1:5" x14ac:dyDescent="0.35">
      <c r="A329" s="1">
        <v>43793</v>
      </c>
      <c r="B329" s="2">
        <v>43793</v>
      </c>
      <c r="C329">
        <v>-0.5</v>
      </c>
      <c r="D329">
        <v>0.25</v>
      </c>
      <c r="E329" s="4">
        <v>0</v>
      </c>
    </row>
    <row r="330" spans="1:5" x14ac:dyDescent="0.35">
      <c r="A330" s="1">
        <v>43794</v>
      </c>
      <c r="B330" s="2">
        <v>43794</v>
      </c>
      <c r="C330">
        <v>-0.5</v>
      </c>
      <c r="D330">
        <v>0.25</v>
      </c>
      <c r="E330" s="4">
        <v>0</v>
      </c>
    </row>
    <row r="331" spans="1:5" x14ac:dyDescent="0.35">
      <c r="A331" s="1">
        <v>43795</v>
      </c>
      <c r="B331" s="2">
        <v>43795</v>
      </c>
      <c r="C331">
        <v>-0.5</v>
      </c>
      <c r="D331">
        <v>0.25</v>
      </c>
      <c r="E331" s="4">
        <v>0</v>
      </c>
    </row>
    <row r="332" spans="1:5" x14ac:dyDescent="0.35">
      <c r="A332" s="1">
        <v>43796</v>
      </c>
      <c r="B332" s="2">
        <v>43796</v>
      </c>
      <c r="C332">
        <v>-0.5</v>
      </c>
      <c r="D332">
        <v>0.25</v>
      </c>
      <c r="E332" s="4">
        <v>0</v>
      </c>
    </row>
    <row r="333" spans="1:5" x14ac:dyDescent="0.35">
      <c r="A333" s="1">
        <v>43797</v>
      </c>
      <c r="B333" s="2">
        <v>43797</v>
      </c>
      <c r="C333">
        <v>-0.5</v>
      </c>
      <c r="D333">
        <v>0.25</v>
      </c>
      <c r="E333" s="4">
        <v>0</v>
      </c>
    </row>
    <row r="334" spans="1:5" x14ac:dyDescent="0.35">
      <c r="A334" s="1">
        <v>43798</v>
      </c>
      <c r="B334" s="2">
        <v>43798</v>
      </c>
      <c r="C334">
        <v>-0.5</v>
      </c>
      <c r="D334">
        <v>0.25</v>
      </c>
      <c r="E334" s="4">
        <v>0</v>
      </c>
    </row>
    <row r="335" spans="1:5" x14ac:dyDescent="0.35">
      <c r="A335" s="1">
        <v>43799</v>
      </c>
      <c r="B335" s="2">
        <v>43799</v>
      </c>
      <c r="C335">
        <v>-0.5</v>
      </c>
      <c r="D335">
        <v>0.25</v>
      </c>
      <c r="E335" s="4">
        <v>0</v>
      </c>
    </row>
    <row r="336" spans="1:5" x14ac:dyDescent="0.35">
      <c r="A336" s="1">
        <v>43800</v>
      </c>
      <c r="B336" s="2">
        <v>43800</v>
      </c>
      <c r="C336">
        <v>-0.5</v>
      </c>
      <c r="D336">
        <v>0.25</v>
      </c>
      <c r="E336" s="4">
        <v>0</v>
      </c>
    </row>
    <row r="337" spans="1:5" x14ac:dyDescent="0.35">
      <c r="A337" s="1">
        <v>43801</v>
      </c>
      <c r="B337" s="2">
        <v>43801</v>
      </c>
      <c r="C337">
        <v>-0.5</v>
      </c>
      <c r="D337">
        <v>0.25</v>
      </c>
      <c r="E337" s="4">
        <v>0</v>
      </c>
    </row>
    <row r="338" spans="1:5" x14ac:dyDescent="0.35">
      <c r="A338" s="1">
        <v>43802</v>
      </c>
      <c r="B338" s="2">
        <v>43802</v>
      </c>
      <c r="C338">
        <v>-0.5</v>
      </c>
      <c r="D338">
        <v>0.25</v>
      </c>
      <c r="E338" s="4">
        <v>0</v>
      </c>
    </row>
    <row r="339" spans="1:5" x14ac:dyDescent="0.35">
      <c r="A339" s="1">
        <v>43803</v>
      </c>
      <c r="B339" s="2">
        <v>43803</v>
      </c>
      <c r="C339">
        <v>-0.5</v>
      </c>
      <c r="D339">
        <v>0.25</v>
      </c>
      <c r="E339" s="4">
        <v>0</v>
      </c>
    </row>
    <row r="340" spans="1:5" x14ac:dyDescent="0.35">
      <c r="A340" s="1">
        <v>43804</v>
      </c>
      <c r="B340" s="2">
        <v>43804</v>
      </c>
      <c r="C340">
        <v>-0.5</v>
      </c>
      <c r="D340">
        <v>0.25</v>
      </c>
      <c r="E340" s="4">
        <v>0</v>
      </c>
    </row>
    <row r="341" spans="1:5" x14ac:dyDescent="0.35">
      <c r="A341" s="1">
        <v>43805</v>
      </c>
      <c r="B341" s="2">
        <v>43805</v>
      </c>
      <c r="C341">
        <v>-0.5</v>
      </c>
      <c r="D341">
        <v>0.25</v>
      </c>
      <c r="E341" s="4">
        <v>0</v>
      </c>
    </row>
    <row r="342" spans="1:5" x14ac:dyDescent="0.35">
      <c r="A342" s="1">
        <v>43806</v>
      </c>
      <c r="B342" s="2">
        <v>43806</v>
      </c>
      <c r="C342">
        <v>-0.5</v>
      </c>
      <c r="D342">
        <v>0.25</v>
      </c>
      <c r="E342" s="4">
        <v>0</v>
      </c>
    </row>
    <row r="343" spans="1:5" x14ac:dyDescent="0.35">
      <c r="A343" s="1">
        <v>43807</v>
      </c>
      <c r="B343" s="2">
        <v>43807</v>
      </c>
      <c r="C343">
        <v>-0.5</v>
      </c>
      <c r="D343">
        <v>0.25</v>
      </c>
      <c r="E343" s="4">
        <v>0</v>
      </c>
    </row>
    <row r="344" spans="1:5" x14ac:dyDescent="0.35">
      <c r="A344" s="1">
        <v>43808</v>
      </c>
      <c r="B344" s="2">
        <v>43808</v>
      </c>
      <c r="C344">
        <v>-0.5</v>
      </c>
      <c r="D344">
        <v>0.25</v>
      </c>
      <c r="E344" s="4">
        <v>0</v>
      </c>
    </row>
    <row r="345" spans="1:5" x14ac:dyDescent="0.35">
      <c r="A345" s="1">
        <v>43809</v>
      </c>
      <c r="B345" s="2">
        <v>43809</v>
      </c>
      <c r="C345">
        <v>-0.5</v>
      </c>
      <c r="D345">
        <v>0.25</v>
      </c>
      <c r="E345" s="4">
        <v>0</v>
      </c>
    </row>
    <row r="346" spans="1:5" x14ac:dyDescent="0.35">
      <c r="A346" s="1">
        <v>43810</v>
      </c>
      <c r="B346" s="2">
        <v>43810</v>
      </c>
      <c r="C346">
        <v>-0.5</v>
      </c>
      <c r="D346">
        <v>0.25</v>
      </c>
      <c r="E346" s="4">
        <v>0</v>
      </c>
    </row>
    <row r="347" spans="1:5" x14ac:dyDescent="0.35">
      <c r="A347" s="1">
        <v>43811</v>
      </c>
      <c r="B347" s="2">
        <v>43811</v>
      </c>
      <c r="C347">
        <v>-0.5</v>
      </c>
      <c r="D347">
        <v>0.25</v>
      </c>
      <c r="E347" s="4">
        <v>0</v>
      </c>
    </row>
    <row r="348" spans="1:5" x14ac:dyDescent="0.35">
      <c r="A348" s="1">
        <v>43812</v>
      </c>
      <c r="B348" s="2">
        <v>43812</v>
      </c>
      <c r="C348">
        <v>-0.5</v>
      </c>
      <c r="D348">
        <v>0.25</v>
      </c>
      <c r="E348" s="4">
        <v>0</v>
      </c>
    </row>
    <row r="349" spans="1:5" x14ac:dyDescent="0.35">
      <c r="A349" s="1">
        <v>43813</v>
      </c>
      <c r="B349" s="2">
        <v>43813</v>
      </c>
      <c r="C349">
        <v>-0.5</v>
      </c>
      <c r="D349">
        <v>0.25</v>
      </c>
      <c r="E349" s="4">
        <v>0</v>
      </c>
    </row>
    <row r="350" spans="1:5" x14ac:dyDescent="0.35">
      <c r="A350" s="1">
        <v>43814</v>
      </c>
      <c r="B350" s="2">
        <v>43814</v>
      </c>
      <c r="C350">
        <v>-0.5</v>
      </c>
      <c r="D350">
        <v>0.25</v>
      </c>
      <c r="E350" s="4">
        <v>0</v>
      </c>
    </row>
    <row r="351" spans="1:5" x14ac:dyDescent="0.35">
      <c r="A351" s="1">
        <v>43815</v>
      </c>
      <c r="B351" s="2">
        <v>43815</v>
      </c>
      <c r="C351">
        <v>-0.5</v>
      </c>
      <c r="D351">
        <v>0.25</v>
      </c>
      <c r="E351" s="4">
        <v>0</v>
      </c>
    </row>
    <row r="352" spans="1:5" x14ac:dyDescent="0.35">
      <c r="A352" s="1">
        <v>43816</v>
      </c>
      <c r="B352" s="2">
        <v>43816</v>
      </c>
      <c r="C352">
        <v>-0.5</v>
      </c>
      <c r="D352">
        <v>0.25</v>
      </c>
      <c r="E352" s="4">
        <v>0</v>
      </c>
    </row>
    <row r="353" spans="1:5" x14ac:dyDescent="0.35">
      <c r="A353" s="1">
        <v>43817</v>
      </c>
      <c r="B353" s="2">
        <v>43817</v>
      </c>
      <c r="C353">
        <v>-0.5</v>
      </c>
      <c r="D353">
        <v>0.25</v>
      </c>
      <c r="E353" s="4">
        <v>0</v>
      </c>
    </row>
    <row r="354" spans="1:5" x14ac:dyDescent="0.35">
      <c r="A354" s="1">
        <v>43818</v>
      </c>
      <c r="B354" s="2">
        <v>43818</v>
      </c>
      <c r="C354">
        <v>-0.5</v>
      </c>
      <c r="D354">
        <v>0.25</v>
      </c>
      <c r="E354" s="4">
        <v>0</v>
      </c>
    </row>
    <row r="355" spans="1:5" x14ac:dyDescent="0.35">
      <c r="A355" s="1">
        <v>43819</v>
      </c>
      <c r="B355" s="2">
        <v>43819</v>
      </c>
      <c r="C355">
        <v>-0.5</v>
      </c>
      <c r="D355">
        <v>0.25</v>
      </c>
      <c r="E355" s="4">
        <v>0</v>
      </c>
    </row>
    <row r="356" spans="1:5" x14ac:dyDescent="0.35">
      <c r="A356" s="1">
        <v>43820</v>
      </c>
      <c r="B356" s="2">
        <v>43820</v>
      </c>
      <c r="C356">
        <v>-0.5</v>
      </c>
      <c r="D356">
        <v>0.25</v>
      </c>
      <c r="E356" s="4">
        <v>0</v>
      </c>
    </row>
    <row r="357" spans="1:5" x14ac:dyDescent="0.35">
      <c r="A357" s="1">
        <v>43821</v>
      </c>
      <c r="B357" s="2">
        <v>43821</v>
      </c>
      <c r="C357">
        <v>-0.5</v>
      </c>
      <c r="D357">
        <v>0.25</v>
      </c>
      <c r="E357" s="4">
        <v>0</v>
      </c>
    </row>
    <row r="358" spans="1:5" x14ac:dyDescent="0.35">
      <c r="A358" s="1">
        <v>43822</v>
      </c>
      <c r="B358" s="2">
        <v>43822</v>
      </c>
      <c r="C358">
        <v>-0.5</v>
      </c>
      <c r="D358">
        <v>0.25</v>
      </c>
      <c r="E358" s="4">
        <v>0</v>
      </c>
    </row>
    <row r="359" spans="1:5" x14ac:dyDescent="0.35">
      <c r="A359" s="1">
        <v>43823</v>
      </c>
      <c r="B359" s="2">
        <v>43823</v>
      </c>
      <c r="C359">
        <v>-0.5</v>
      </c>
      <c r="D359">
        <v>0.25</v>
      </c>
      <c r="E359" s="4">
        <v>0</v>
      </c>
    </row>
    <row r="360" spans="1:5" x14ac:dyDescent="0.35">
      <c r="A360" s="1">
        <v>43824</v>
      </c>
      <c r="B360" s="2">
        <v>43824</v>
      </c>
      <c r="C360">
        <v>-0.5</v>
      </c>
      <c r="D360">
        <v>0.25</v>
      </c>
      <c r="E360" s="4">
        <v>0</v>
      </c>
    </row>
    <row r="361" spans="1:5" x14ac:dyDescent="0.35">
      <c r="A361" s="1">
        <v>43825</v>
      </c>
      <c r="B361" s="2">
        <v>43825</v>
      </c>
      <c r="C361">
        <v>-0.5</v>
      </c>
      <c r="D361">
        <v>0.25</v>
      </c>
      <c r="E361" s="4">
        <v>0</v>
      </c>
    </row>
    <row r="362" spans="1:5" x14ac:dyDescent="0.35">
      <c r="A362" s="1">
        <v>43826</v>
      </c>
      <c r="B362" s="2">
        <v>43826</v>
      </c>
      <c r="C362">
        <v>-0.5</v>
      </c>
      <c r="D362">
        <v>0.25</v>
      </c>
      <c r="E362" s="4">
        <v>0</v>
      </c>
    </row>
    <row r="363" spans="1:5" x14ac:dyDescent="0.35">
      <c r="A363" s="1">
        <v>43827</v>
      </c>
      <c r="B363" s="2">
        <v>43827</v>
      </c>
      <c r="C363">
        <v>-0.5</v>
      </c>
      <c r="D363">
        <v>0.25</v>
      </c>
      <c r="E363" s="4">
        <v>0</v>
      </c>
    </row>
    <row r="364" spans="1:5" x14ac:dyDescent="0.35">
      <c r="A364" s="1">
        <v>43828</v>
      </c>
      <c r="B364" s="2">
        <v>43828</v>
      </c>
      <c r="C364">
        <v>-0.5</v>
      </c>
      <c r="D364">
        <v>0.25</v>
      </c>
      <c r="E364" s="4">
        <v>0</v>
      </c>
    </row>
    <row r="365" spans="1:5" x14ac:dyDescent="0.35">
      <c r="A365" s="1">
        <v>43829</v>
      </c>
      <c r="B365" s="2">
        <v>43829</v>
      </c>
      <c r="C365">
        <v>-0.5</v>
      </c>
      <c r="D365">
        <v>0.25</v>
      </c>
      <c r="E365" s="4">
        <v>0</v>
      </c>
    </row>
    <row r="366" spans="1:5" x14ac:dyDescent="0.35">
      <c r="A366" s="1">
        <v>43830</v>
      </c>
      <c r="B366" s="2">
        <v>43830</v>
      </c>
      <c r="C366">
        <v>-0.5</v>
      </c>
      <c r="D366">
        <v>0.25</v>
      </c>
      <c r="E366" s="4">
        <v>0</v>
      </c>
    </row>
    <row r="367" spans="1:5" x14ac:dyDescent="0.35">
      <c r="A367" s="1">
        <v>43831</v>
      </c>
      <c r="B367" s="2">
        <v>43831</v>
      </c>
      <c r="C367">
        <v>-0.5</v>
      </c>
      <c r="D367">
        <v>0.25</v>
      </c>
      <c r="E367" s="4">
        <v>0</v>
      </c>
    </row>
    <row r="368" spans="1:5" x14ac:dyDescent="0.35">
      <c r="A368" s="1">
        <v>43832</v>
      </c>
      <c r="B368" s="2">
        <v>43832</v>
      </c>
      <c r="C368">
        <v>-0.5</v>
      </c>
      <c r="D368">
        <v>0.25</v>
      </c>
      <c r="E368" s="4">
        <v>0</v>
      </c>
    </row>
    <row r="369" spans="1:5" x14ac:dyDescent="0.35">
      <c r="A369" s="1">
        <v>43833</v>
      </c>
      <c r="B369" s="2">
        <v>43833</v>
      </c>
      <c r="C369">
        <v>-0.5</v>
      </c>
      <c r="D369">
        <v>0.25</v>
      </c>
      <c r="E369" s="4">
        <v>0</v>
      </c>
    </row>
    <row r="370" spans="1:5" x14ac:dyDescent="0.35">
      <c r="A370" s="1">
        <v>43834</v>
      </c>
      <c r="B370" s="2">
        <v>43834</v>
      </c>
      <c r="C370">
        <v>-0.5</v>
      </c>
      <c r="D370">
        <v>0.25</v>
      </c>
      <c r="E370" s="4">
        <v>0</v>
      </c>
    </row>
    <row r="371" spans="1:5" x14ac:dyDescent="0.35">
      <c r="A371" s="1">
        <v>43835</v>
      </c>
      <c r="B371" s="2">
        <v>43835</v>
      </c>
      <c r="C371">
        <v>-0.5</v>
      </c>
      <c r="D371">
        <v>0.25</v>
      </c>
      <c r="E371" s="4">
        <v>0</v>
      </c>
    </row>
    <row r="372" spans="1:5" x14ac:dyDescent="0.35">
      <c r="A372" s="1">
        <v>43836</v>
      </c>
      <c r="B372" s="2">
        <v>43836</v>
      </c>
      <c r="C372">
        <v>-0.5</v>
      </c>
      <c r="D372">
        <v>0.25</v>
      </c>
      <c r="E372" s="4">
        <v>0</v>
      </c>
    </row>
    <row r="373" spans="1:5" x14ac:dyDescent="0.35">
      <c r="A373" s="1">
        <v>43837</v>
      </c>
      <c r="B373" s="2">
        <v>43837</v>
      </c>
      <c r="C373">
        <v>-0.5</v>
      </c>
      <c r="D373">
        <v>0.25</v>
      </c>
      <c r="E373" s="4">
        <v>0</v>
      </c>
    </row>
    <row r="374" spans="1:5" x14ac:dyDescent="0.35">
      <c r="A374" s="1">
        <v>43838</v>
      </c>
      <c r="B374" s="2">
        <v>43838</v>
      </c>
      <c r="C374">
        <v>-0.5</v>
      </c>
      <c r="D374">
        <v>0.25</v>
      </c>
      <c r="E374" s="4">
        <v>0</v>
      </c>
    </row>
    <row r="375" spans="1:5" x14ac:dyDescent="0.35">
      <c r="A375" s="1">
        <v>43839</v>
      </c>
      <c r="B375" s="2">
        <v>43839</v>
      </c>
      <c r="C375">
        <v>-0.5</v>
      </c>
      <c r="D375">
        <v>0.25</v>
      </c>
      <c r="E375" s="4">
        <v>0</v>
      </c>
    </row>
    <row r="376" spans="1:5" x14ac:dyDescent="0.35">
      <c r="A376" s="1">
        <v>43840</v>
      </c>
      <c r="B376" s="2">
        <v>43840</v>
      </c>
      <c r="C376">
        <v>-0.5</v>
      </c>
      <c r="D376">
        <v>0.25</v>
      </c>
      <c r="E376" s="4">
        <v>0</v>
      </c>
    </row>
    <row r="377" spans="1:5" x14ac:dyDescent="0.35">
      <c r="A377" s="1">
        <v>43841</v>
      </c>
      <c r="B377" s="2">
        <v>43841</v>
      </c>
      <c r="C377">
        <v>-0.5</v>
      </c>
      <c r="D377">
        <v>0.25</v>
      </c>
      <c r="E377" s="4">
        <v>0</v>
      </c>
    </row>
    <row r="378" spans="1:5" x14ac:dyDescent="0.35">
      <c r="A378" s="1">
        <v>43842</v>
      </c>
      <c r="B378" s="2">
        <v>43842</v>
      </c>
      <c r="C378">
        <v>-0.5</v>
      </c>
      <c r="D378">
        <v>0.25</v>
      </c>
      <c r="E378" s="4">
        <v>0</v>
      </c>
    </row>
    <row r="379" spans="1:5" x14ac:dyDescent="0.35">
      <c r="A379" s="1">
        <v>43843</v>
      </c>
      <c r="B379" s="2">
        <v>43843</v>
      </c>
      <c r="C379">
        <v>-0.5</v>
      </c>
      <c r="D379">
        <v>0.25</v>
      </c>
      <c r="E379" s="4">
        <v>0</v>
      </c>
    </row>
    <row r="380" spans="1:5" x14ac:dyDescent="0.35">
      <c r="A380" s="1">
        <v>43844</v>
      </c>
      <c r="B380" s="2">
        <v>43844</v>
      </c>
      <c r="C380">
        <v>-0.5</v>
      </c>
      <c r="D380">
        <v>0.25</v>
      </c>
      <c r="E380" s="4">
        <v>0</v>
      </c>
    </row>
    <row r="381" spans="1:5" x14ac:dyDescent="0.35">
      <c r="A381" s="1">
        <v>43845</v>
      </c>
      <c r="B381" s="2">
        <v>43845</v>
      </c>
      <c r="C381">
        <v>-0.5</v>
      </c>
      <c r="D381">
        <v>0.25</v>
      </c>
      <c r="E381" s="4">
        <v>0</v>
      </c>
    </row>
    <row r="382" spans="1:5" x14ac:dyDescent="0.35">
      <c r="A382" s="1">
        <v>43846</v>
      </c>
      <c r="B382" s="2">
        <v>43846</v>
      </c>
      <c r="C382">
        <v>-0.5</v>
      </c>
      <c r="D382">
        <v>0.25</v>
      </c>
      <c r="E382" s="4">
        <v>0</v>
      </c>
    </row>
    <row r="383" spans="1:5" x14ac:dyDescent="0.35">
      <c r="A383" s="1">
        <v>43847</v>
      </c>
      <c r="B383" s="2">
        <v>43847</v>
      </c>
      <c r="C383">
        <v>-0.5</v>
      </c>
      <c r="D383">
        <v>0.25</v>
      </c>
      <c r="E383" s="4">
        <v>0</v>
      </c>
    </row>
    <row r="384" spans="1:5" x14ac:dyDescent="0.35">
      <c r="A384" s="1">
        <v>43848</v>
      </c>
      <c r="B384" s="2">
        <v>43848</v>
      </c>
      <c r="C384">
        <v>-0.5</v>
      </c>
      <c r="D384">
        <v>0.25</v>
      </c>
      <c r="E384" s="4">
        <v>0</v>
      </c>
    </row>
    <row r="385" spans="1:5" x14ac:dyDescent="0.35">
      <c r="A385" s="1">
        <v>43849</v>
      </c>
      <c r="B385" s="2">
        <v>43849</v>
      </c>
      <c r="C385">
        <v>-0.5</v>
      </c>
      <c r="D385">
        <v>0.25</v>
      </c>
      <c r="E385" s="4">
        <v>0</v>
      </c>
    </row>
    <row r="386" spans="1:5" x14ac:dyDescent="0.35">
      <c r="A386" s="1">
        <v>43850</v>
      </c>
      <c r="B386" s="2">
        <v>43850</v>
      </c>
      <c r="C386">
        <v>-0.5</v>
      </c>
      <c r="D386">
        <v>0.25</v>
      </c>
      <c r="E386" s="4">
        <v>0</v>
      </c>
    </row>
    <row r="387" spans="1:5" x14ac:dyDescent="0.35">
      <c r="A387" s="1">
        <v>43851</v>
      </c>
      <c r="B387" s="2">
        <v>43851</v>
      </c>
      <c r="C387">
        <v>-0.5</v>
      </c>
      <c r="D387">
        <v>0.25</v>
      </c>
      <c r="E387" s="4">
        <v>0</v>
      </c>
    </row>
    <row r="388" spans="1:5" x14ac:dyDescent="0.35">
      <c r="A388" s="1">
        <v>43852</v>
      </c>
      <c r="B388" s="2">
        <v>43852</v>
      </c>
      <c r="C388">
        <v>-0.5</v>
      </c>
      <c r="D388">
        <v>0.25</v>
      </c>
      <c r="E388" s="4">
        <v>0</v>
      </c>
    </row>
    <row r="389" spans="1:5" x14ac:dyDescent="0.35">
      <c r="A389" s="1">
        <v>43853</v>
      </c>
      <c r="B389" s="2">
        <v>43853</v>
      </c>
      <c r="C389">
        <v>-0.5</v>
      </c>
      <c r="D389">
        <v>0.25</v>
      </c>
      <c r="E389" s="4">
        <v>0</v>
      </c>
    </row>
    <row r="390" spans="1:5" x14ac:dyDescent="0.35">
      <c r="A390" s="1">
        <v>43854</v>
      </c>
      <c r="B390" s="2">
        <v>43854</v>
      </c>
      <c r="C390">
        <v>-0.5</v>
      </c>
      <c r="D390">
        <v>0.25</v>
      </c>
      <c r="E390" s="4">
        <v>0</v>
      </c>
    </row>
    <row r="391" spans="1:5" x14ac:dyDescent="0.35">
      <c r="A391" s="1">
        <v>43855</v>
      </c>
      <c r="B391" s="2">
        <v>43855</v>
      </c>
      <c r="C391">
        <v>-0.5</v>
      </c>
      <c r="D391">
        <v>0.25</v>
      </c>
      <c r="E391" s="4">
        <v>0</v>
      </c>
    </row>
    <row r="392" spans="1:5" x14ac:dyDescent="0.35">
      <c r="A392" s="1">
        <v>43856</v>
      </c>
      <c r="B392" s="2">
        <v>43856</v>
      </c>
      <c r="C392">
        <v>-0.5</v>
      </c>
      <c r="D392">
        <v>0.25</v>
      </c>
      <c r="E392" s="4">
        <v>0</v>
      </c>
    </row>
    <row r="393" spans="1:5" x14ac:dyDescent="0.35">
      <c r="A393" s="1">
        <v>43857</v>
      </c>
      <c r="B393" s="2">
        <v>43857</v>
      </c>
      <c r="C393">
        <v>-0.5</v>
      </c>
      <c r="D393">
        <v>0.25</v>
      </c>
      <c r="E393" s="4">
        <v>0</v>
      </c>
    </row>
    <row r="394" spans="1:5" x14ac:dyDescent="0.35">
      <c r="A394" s="1">
        <v>43858</v>
      </c>
      <c r="B394" s="2">
        <v>43858</v>
      </c>
      <c r="C394">
        <v>-0.5</v>
      </c>
      <c r="D394">
        <v>0.25</v>
      </c>
      <c r="E394" s="4">
        <v>0</v>
      </c>
    </row>
    <row r="395" spans="1:5" x14ac:dyDescent="0.35">
      <c r="A395" s="1">
        <v>43859</v>
      </c>
      <c r="B395" s="2">
        <v>43859</v>
      </c>
      <c r="C395">
        <v>-0.5</v>
      </c>
      <c r="D395">
        <v>0.25</v>
      </c>
      <c r="E395" s="4">
        <v>0</v>
      </c>
    </row>
    <row r="396" spans="1:5" x14ac:dyDescent="0.35">
      <c r="A396" s="1">
        <v>43860</v>
      </c>
      <c r="B396" s="2">
        <v>43860</v>
      </c>
      <c r="C396">
        <v>-0.5</v>
      </c>
      <c r="D396">
        <v>0.25</v>
      </c>
      <c r="E396" s="4">
        <v>0</v>
      </c>
    </row>
    <row r="397" spans="1:5" x14ac:dyDescent="0.35">
      <c r="A397" s="1">
        <v>43861</v>
      </c>
      <c r="B397" s="2">
        <v>43861</v>
      </c>
      <c r="C397">
        <v>-0.5</v>
      </c>
      <c r="D397">
        <v>0.25</v>
      </c>
      <c r="E397" s="4">
        <v>0</v>
      </c>
    </row>
    <row r="398" spans="1:5" x14ac:dyDescent="0.35">
      <c r="A398" s="1">
        <v>43862</v>
      </c>
      <c r="B398" s="2">
        <v>43862</v>
      </c>
      <c r="C398">
        <v>-0.5</v>
      </c>
      <c r="D398">
        <v>0.25</v>
      </c>
      <c r="E398" s="4">
        <v>0</v>
      </c>
    </row>
    <row r="399" spans="1:5" x14ac:dyDescent="0.35">
      <c r="A399" s="1">
        <v>43863</v>
      </c>
      <c r="B399" s="2">
        <v>43863</v>
      </c>
      <c r="C399">
        <v>-0.5</v>
      </c>
      <c r="D399">
        <v>0.25</v>
      </c>
      <c r="E399" s="4">
        <v>0</v>
      </c>
    </row>
    <row r="400" spans="1:5" x14ac:dyDescent="0.35">
      <c r="A400" s="1">
        <v>43864</v>
      </c>
      <c r="B400" s="2">
        <v>43864</v>
      </c>
      <c r="C400">
        <v>-0.5</v>
      </c>
      <c r="D400">
        <v>0.25</v>
      </c>
      <c r="E400" s="4">
        <v>0</v>
      </c>
    </row>
    <row r="401" spans="1:5" x14ac:dyDescent="0.35">
      <c r="A401" s="1">
        <v>43865</v>
      </c>
      <c r="B401" s="2">
        <v>43865</v>
      </c>
      <c r="C401">
        <v>-0.5</v>
      </c>
      <c r="D401">
        <v>0.25</v>
      </c>
      <c r="E401" s="4">
        <v>0</v>
      </c>
    </row>
    <row r="402" spans="1:5" x14ac:dyDescent="0.35">
      <c r="A402" s="1">
        <v>43866</v>
      </c>
      <c r="B402" s="2">
        <v>43866</v>
      </c>
      <c r="C402">
        <v>-0.5</v>
      </c>
      <c r="D402">
        <v>0.25</v>
      </c>
      <c r="E402" s="4">
        <v>0</v>
      </c>
    </row>
    <row r="403" spans="1:5" x14ac:dyDescent="0.35">
      <c r="A403" s="1">
        <v>43867</v>
      </c>
      <c r="B403" s="2">
        <v>43867</v>
      </c>
      <c r="C403">
        <v>-0.5</v>
      </c>
      <c r="D403">
        <v>0.25</v>
      </c>
      <c r="E403" s="4">
        <v>0</v>
      </c>
    </row>
    <row r="404" spans="1:5" x14ac:dyDescent="0.35">
      <c r="A404" s="1">
        <v>43868</v>
      </c>
      <c r="B404" s="2">
        <v>43868</v>
      </c>
      <c r="C404">
        <v>-0.5</v>
      </c>
      <c r="D404">
        <v>0.25</v>
      </c>
      <c r="E404" s="4">
        <v>0</v>
      </c>
    </row>
    <row r="405" spans="1:5" x14ac:dyDescent="0.35">
      <c r="A405" s="1">
        <v>43869</v>
      </c>
      <c r="B405" s="2">
        <v>43869</v>
      </c>
      <c r="C405">
        <v>-0.5</v>
      </c>
      <c r="D405">
        <v>0.25</v>
      </c>
      <c r="E405" s="4">
        <v>0</v>
      </c>
    </row>
    <row r="406" spans="1:5" x14ac:dyDescent="0.35">
      <c r="A406" s="1">
        <v>43870</v>
      </c>
      <c r="B406" s="2">
        <v>43870</v>
      </c>
      <c r="C406">
        <v>-0.5</v>
      </c>
      <c r="D406">
        <v>0.25</v>
      </c>
      <c r="E406" s="4">
        <v>0</v>
      </c>
    </row>
    <row r="407" spans="1:5" x14ac:dyDescent="0.35">
      <c r="A407" s="1">
        <v>43871</v>
      </c>
      <c r="B407" s="2">
        <v>43871</v>
      </c>
      <c r="C407">
        <v>-0.5</v>
      </c>
      <c r="D407">
        <v>0.25</v>
      </c>
      <c r="E407" s="4">
        <v>0</v>
      </c>
    </row>
    <row r="408" spans="1:5" x14ac:dyDescent="0.35">
      <c r="A408" s="1">
        <v>43872</v>
      </c>
      <c r="B408" s="2">
        <v>43872</v>
      </c>
      <c r="C408">
        <v>-0.5</v>
      </c>
      <c r="D408">
        <v>0.25</v>
      </c>
      <c r="E408" s="4">
        <v>0</v>
      </c>
    </row>
    <row r="409" spans="1:5" x14ac:dyDescent="0.35">
      <c r="A409" s="1">
        <v>43873</v>
      </c>
      <c r="B409" s="2">
        <v>43873</v>
      </c>
      <c r="C409">
        <v>-0.5</v>
      </c>
      <c r="D409">
        <v>0.25</v>
      </c>
      <c r="E409" s="4">
        <v>0</v>
      </c>
    </row>
    <row r="410" spans="1:5" x14ac:dyDescent="0.35">
      <c r="A410" s="1">
        <v>43874</v>
      </c>
      <c r="B410" s="2">
        <v>43874</v>
      </c>
      <c r="C410">
        <v>-0.5</v>
      </c>
      <c r="D410">
        <v>0.25</v>
      </c>
      <c r="E410" s="4">
        <v>0</v>
      </c>
    </row>
    <row r="411" spans="1:5" x14ac:dyDescent="0.35">
      <c r="A411" s="1">
        <v>43875</v>
      </c>
      <c r="B411" s="2">
        <v>43875</v>
      </c>
      <c r="C411">
        <v>-0.5</v>
      </c>
      <c r="D411">
        <v>0.25</v>
      </c>
      <c r="E411" s="4">
        <v>0</v>
      </c>
    </row>
    <row r="412" spans="1:5" x14ac:dyDescent="0.35">
      <c r="A412" s="1">
        <v>43876</v>
      </c>
      <c r="B412" s="2">
        <v>43876</v>
      </c>
      <c r="C412">
        <v>-0.5</v>
      </c>
      <c r="D412">
        <v>0.25</v>
      </c>
      <c r="E412" s="4">
        <v>0</v>
      </c>
    </row>
    <row r="413" spans="1:5" x14ac:dyDescent="0.35">
      <c r="A413" s="1">
        <v>43877</v>
      </c>
      <c r="B413" s="2">
        <v>43877</v>
      </c>
      <c r="C413">
        <v>-0.5</v>
      </c>
      <c r="D413">
        <v>0.25</v>
      </c>
      <c r="E413" s="4">
        <v>0</v>
      </c>
    </row>
    <row r="414" spans="1:5" x14ac:dyDescent="0.35">
      <c r="A414" s="1">
        <v>43878</v>
      </c>
      <c r="B414" s="2">
        <v>43878</v>
      </c>
      <c r="C414">
        <v>-0.5</v>
      </c>
      <c r="D414">
        <v>0.25</v>
      </c>
      <c r="E414" s="4">
        <v>0</v>
      </c>
    </row>
    <row r="415" spans="1:5" x14ac:dyDescent="0.35">
      <c r="A415" s="1">
        <v>43879</v>
      </c>
      <c r="B415" s="2">
        <v>43879</v>
      </c>
      <c r="C415">
        <v>-0.5</v>
      </c>
      <c r="D415">
        <v>0.25</v>
      </c>
      <c r="E415" s="4">
        <v>0</v>
      </c>
    </row>
    <row r="416" spans="1:5" x14ac:dyDescent="0.35">
      <c r="A416" s="1">
        <v>43880</v>
      </c>
      <c r="B416" s="2">
        <v>43880</v>
      </c>
      <c r="C416">
        <v>-0.5</v>
      </c>
      <c r="D416">
        <v>0.25</v>
      </c>
      <c r="E416" s="4">
        <v>0</v>
      </c>
    </row>
    <row r="417" spans="1:5" x14ac:dyDescent="0.35">
      <c r="A417" s="1">
        <v>43881</v>
      </c>
      <c r="B417" s="2">
        <v>43881</v>
      </c>
      <c r="C417">
        <v>-0.5</v>
      </c>
      <c r="D417">
        <v>0.25</v>
      </c>
      <c r="E417" s="4">
        <v>0</v>
      </c>
    </row>
    <row r="418" spans="1:5" x14ac:dyDescent="0.35">
      <c r="A418" s="1">
        <v>43882</v>
      </c>
      <c r="B418" s="2">
        <v>43882</v>
      </c>
      <c r="C418">
        <v>-0.5</v>
      </c>
      <c r="D418">
        <v>0.25</v>
      </c>
      <c r="E418" s="4">
        <v>0</v>
      </c>
    </row>
    <row r="419" spans="1:5" x14ac:dyDescent="0.35">
      <c r="A419" s="1">
        <v>43883</v>
      </c>
      <c r="B419" s="2">
        <v>43883</v>
      </c>
      <c r="C419">
        <v>-0.5</v>
      </c>
      <c r="D419">
        <v>0.25</v>
      </c>
      <c r="E419" s="4">
        <v>0</v>
      </c>
    </row>
    <row r="420" spans="1:5" x14ac:dyDescent="0.35">
      <c r="A420" s="1">
        <v>43884</v>
      </c>
      <c r="B420" s="2">
        <v>43884</v>
      </c>
      <c r="C420">
        <v>-0.5</v>
      </c>
      <c r="D420">
        <v>0.25</v>
      </c>
      <c r="E420" s="4">
        <v>0</v>
      </c>
    </row>
    <row r="421" spans="1:5" x14ac:dyDescent="0.35">
      <c r="A421" s="1">
        <v>43885</v>
      </c>
      <c r="B421" s="2">
        <v>43885</v>
      </c>
      <c r="C421">
        <v>-0.5</v>
      </c>
      <c r="D421">
        <v>0.25</v>
      </c>
      <c r="E421" s="4">
        <v>0</v>
      </c>
    </row>
    <row r="422" spans="1:5" x14ac:dyDescent="0.35">
      <c r="A422" s="1">
        <v>43886</v>
      </c>
      <c r="B422" s="2">
        <v>43886</v>
      </c>
      <c r="C422">
        <v>-0.5</v>
      </c>
      <c r="D422">
        <v>0.25</v>
      </c>
      <c r="E422" s="4">
        <v>0</v>
      </c>
    </row>
    <row r="423" spans="1:5" x14ac:dyDescent="0.35">
      <c r="A423" s="1">
        <v>43887</v>
      </c>
      <c r="B423" s="2">
        <v>43887</v>
      </c>
      <c r="C423">
        <v>-0.5</v>
      </c>
      <c r="D423">
        <v>0.25</v>
      </c>
      <c r="E423" s="4">
        <v>0</v>
      </c>
    </row>
    <row r="424" spans="1:5" x14ac:dyDescent="0.35">
      <c r="A424" s="1">
        <v>43888</v>
      </c>
      <c r="B424" s="2">
        <v>43888</v>
      </c>
      <c r="C424">
        <v>-0.5</v>
      </c>
      <c r="D424">
        <v>0.25</v>
      </c>
      <c r="E424" s="4">
        <v>0</v>
      </c>
    </row>
    <row r="425" spans="1:5" x14ac:dyDescent="0.35">
      <c r="A425" s="1">
        <v>43889</v>
      </c>
      <c r="B425" s="2">
        <v>43889</v>
      </c>
      <c r="C425">
        <v>-0.5</v>
      </c>
      <c r="D425">
        <v>0.25</v>
      </c>
      <c r="E425" s="4">
        <v>0</v>
      </c>
    </row>
    <row r="426" spans="1:5" x14ac:dyDescent="0.35">
      <c r="A426" s="1">
        <v>43890</v>
      </c>
      <c r="B426" s="2">
        <v>43890</v>
      </c>
      <c r="C426">
        <v>-0.5</v>
      </c>
      <c r="D426">
        <v>0.25</v>
      </c>
      <c r="E426" s="4">
        <v>0</v>
      </c>
    </row>
    <row r="427" spans="1:5" x14ac:dyDescent="0.35">
      <c r="A427" s="1">
        <v>43891</v>
      </c>
      <c r="B427" s="2">
        <v>43891</v>
      </c>
      <c r="C427">
        <v>-0.5</v>
      </c>
      <c r="D427">
        <v>0.25</v>
      </c>
      <c r="E427" s="4">
        <v>0</v>
      </c>
    </row>
    <row r="428" spans="1:5" x14ac:dyDescent="0.35">
      <c r="A428" s="1">
        <v>43892</v>
      </c>
      <c r="B428" s="2">
        <v>43892</v>
      </c>
      <c r="C428">
        <v>-0.5</v>
      </c>
      <c r="D428">
        <v>0.25</v>
      </c>
      <c r="E428" s="4">
        <v>0</v>
      </c>
    </row>
    <row r="429" spans="1:5" x14ac:dyDescent="0.35">
      <c r="A429" s="1">
        <v>43893</v>
      </c>
      <c r="B429" s="2">
        <v>43893</v>
      </c>
      <c r="C429">
        <v>-0.5</v>
      </c>
      <c r="D429">
        <v>0.25</v>
      </c>
      <c r="E429" s="4">
        <v>0</v>
      </c>
    </row>
    <row r="430" spans="1:5" x14ac:dyDescent="0.35">
      <c r="A430" s="1">
        <v>43894</v>
      </c>
      <c r="B430" s="2">
        <v>43894</v>
      </c>
      <c r="C430">
        <v>-0.5</v>
      </c>
      <c r="D430">
        <v>0.25</v>
      </c>
      <c r="E430" s="4">
        <v>0</v>
      </c>
    </row>
    <row r="431" spans="1:5" x14ac:dyDescent="0.35">
      <c r="A431" s="1">
        <v>43895</v>
      </c>
      <c r="B431" s="2">
        <v>43895</v>
      </c>
      <c r="C431">
        <v>-0.5</v>
      </c>
      <c r="D431">
        <v>0.25</v>
      </c>
      <c r="E431" s="4">
        <v>0</v>
      </c>
    </row>
    <row r="432" spans="1:5" x14ac:dyDescent="0.35">
      <c r="A432" s="1">
        <v>43896</v>
      </c>
      <c r="B432" s="2">
        <v>43896</v>
      </c>
      <c r="C432">
        <v>-0.5</v>
      </c>
      <c r="D432">
        <v>0.25</v>
      </c>
      <c r="E432" s="4">
        <v>0</v>
      </c>
    </row>
    <row r="433" spans="1:5" x14ac:dyDescent="0.35">
      <c r="A433" s="1">
        <v>43897</v>
      </c>
      <c r="B433" s="2">
        <v>43897</v>
      </c>
      <c r="C433">
        <v>-0.5</v>
      </c>
      <c r="D433">
        <v>0.25</v>
      </c>
      <c r="E433" s="4">
        <v>0</v>
      </c>
    </row>
    <row r="434" spans="1:5" x14ac:dyDescent="0.35">
      <c r="A434" s="1">
        <v>43898</v>
      </c>
      <c r="B434" s="2">
        <v>43898</v>
      </c>
      <c r="C434">
        <v>-0.5</v>
      </c>
      <c r="D434">
        <v>0.25</v>
      </c>
      <c r="E434" s="4">
        <v>0</v>
      </c>
    </row>
    <row r="435" spans="1:5" x14ac:dyDescent="0.35">
      <c r="A435" s="1">
        <v>43899</v>
      </c>
      <c r="B435" s="2">
        <v>43899</v>
      </c>
      <c r="C435">
        <v>-0.5</v>
      </c>
      <c r="D435">
        <v>0.25</v>
      </c>
      <c r="E435" s="4">
        <v>0</v>
      </c>
    </row>
    <row r="436" spans="1:5" x14ac:dyDescent="0.35">
      <c r="A436" s="1">
        <v>43900</v>
      </c>
      <c r="B436" s="2">
        <v>43900</v>
      </c>
      <c r="C436">
        <v>-0.5</v>
      </c>
      <c r="D436">
        <v>0.25</v>
      </c>
      <c r="E436" s="4">
        <v>0</v>
      </c>
    </row>
    <row r="437" spans="1:5" x14ac:dyDescent="0.35">
      <c r="A437" s="1">
        <v>43901</v>
      </c>
      <c r="B437" s="2">
        <v>43901</v>
      </c>
      <c r="C437">
        <v>-0.5</v>
      </c>
      <c r="D437">
        <v>0.25</v>
      </c>
      <c r="E437" s="4">
        <v>0</v>
      </c>
    </row>
    <row r="438" spans="1:5" x14ac:dyDescent="0.35">
      <c r="A438" s="1">
        <v>43902</v>
      </c>
      <c r="B438" s="2">
        <v>43902</v>
      </c>
      <c r="C438">
        <v>-0.5</v>
      </c>
      <c r="D438">
        <v>0.25</v>
      </c>
      <c r="E438" s="4">
        <v>0</v>
      </c>
    </row>
    <row r="439" spans="1:5" x14ac:dyDescent="0.35">
      <c r="A439" s="1">
        <v>43903</v>
      </c>
      <c r="B439" s="2">
        <v>43903</v>
      </c>
      <c r="C439">
        <v>-0.5</v>
      </c>
      <c r="D439">
        <v>0.25</v>
      </c>
      <c r="E439" s="4">
        <v>0</v>
      </c>
    </row>
    <row r="440" spans="1:5" x14ac:dyDescent="0.35">
      <c r="A440" s="1">
        <v>43904</v>
      </c>
      <c r="B440" s="2">
        <v>43904</v>
      </c>
      <c r="C440">
        <v>-0.5</v>
      </c>
      <c r="D440">
        <v>0.25</v>
      </c>
      <c r="E440" s="4">
        <v>0</v>
      </c>
    </row>
    <row r="441" spans="1:5" x14ac:dyDescent="0.35">
      <c r="A441" s="1">
        <v>43905</v>
      </c>
      <c r="B441" s="2">
        <v>43905</v>
      </c>
      <c r="C441">
        <v>-0.5</v>
      </c>
      <c r="D441">
        <v>0.25</v>
      </c>
      <c r="E441" s="4">
        <v>0</v>
      </c>
    </row>
    <row r="442" spans="1:5" x14ac:dyDescent="0.35">
      <c r="A442" s="1">
        <v>43906</v>
      </c>
      <c r="B442" s="2">
        <v>43906</v>
      </c>
      <c r="C442">
        <v>-0.5</v>
      </c>
      <c r="D442">
        <v>0.25</v>
      </c>
      <c r="E442" s="4">
        <v>0</v>
      </c>
    </row>
    <row r="443" spans="1:5" x14ac:dyDescent="0.35">
      <c r="A443" s="1">
        <v>43907</v>
      </c>
      <c r="B443" s="2">
        <v>43907</v>
      </c>
      <c r="C443">
        <v>-0.5</v>
      </c>
      <c r="D443">
        <v>0.25</v>
      </c>
      <c r="E443" s="4">
        <v>0</v>
      </c>
    </row>
    <row r="444" spans="1:5" x14ac:dyDescent="0.35">
      <c r="A444" s="1">
        <v>43908</v>
      </c>
      <c r="B444" s="2">
        <v>43908</v>
      </c>
      <c r="C444">
        <v>-0.5</v>
      </c>
      <c r="D444">
        <v>0.25</v>
      </c>
      <c r="E444" s="4">
        <v>0</v>
      </c>
    </row>
    <row r="445" spans="1:5" x14ac:dyDescent="0.35">
      <c r="A445" s="1">
        <v>43909</v>
      </c>
      <c r="B445" s="2">
        <v>43909</v>
      </c>
      <c r="C445">
        <v>-0.5</v>
      </c>
      <c r="D445">
        <v>0.25</v>
      </c>
      <c r="E445" s="4">
        <v>0</v>
      </c>
    </row>
    <row r="446" spans="1:5" x14ac:dyDescent="0.35">
      <c r="A446" s="1">
        <v>43910</v>
      </c>
      <c r="B446" s="2">
        <v>43910</v>
      </c>
      <c r="C446">
        <v>-0.5</v>
      </c>
      <c r="D446">
        <v>0.25</v>
      </c>
      <c r="E446" s="4">
        <v>0</v>
      </c>
    </row>
    <row r="447" spans="1:5" x14ac:dyDescent="0.35">
      <c r="A447" s="1">
        <v>43911</v>
      </c>
      <c r="B447" s="2">
        <v>43911</v>
      </c>
      <c r="C447">
        <v>-0.5</v>
      </c>
      <c r="D447">
        <v>0.25</v>
      </c>
      <c r="E447" s="4">
        <v>0</v>
      </c>
    </row>
    <row r="448" spans="1:5" x14ac:dyDescent="0.35">
      <c r="A448" s="1">
        <v>43912</v>
      </c>
      <c r="B448" s="2">
        <v>43912</v>
      </c>
      <c r="C448">
        <v>-0.5</v>
      </c>
      <c r="D448">
        <v>0.25</v>
      </c>
      <c r="E448" s="4">
        <v>0</v>
      </c>
    </row>
    <row r="449" spans="1:5" x14ac:dyDescent="0.35">
      <c r="A449" s="1">
        <v>43913</v>
      </c>
      <c r="B449" s="2">
        <v>43913</v>
      </c>
      <c r="C449">
        <v>-0.5</v>
      </c>
      <c r="D449">
        <v>0.25</v>
      </c>
      <c r="E449" s="4">
        <v>0</v>
      </c>
    </row>
    <row r="450" spans="1:5" x14ac:dyDescent="0.35">
      <c r="A450" s="1">
        <v>43914</v>
      </c>
      <c r="B450" s="2">
        <v>43914</v>
      </c>
      <c r="C450">
        <v>-0.5</v>
      </c>
      <c r="D450">
        <v>0.25</v>
      </c>
      <c r="E450" s="4">
        <v>0</v>
      </c>
    </row>
    <row r="451" spans="1:5" x14ac:dyDescent="0.35">
      <c r="A451" s="1">
        <v>43915</v>
      </c>
      <c r="B451" s="2">
        <v>43915</v>
      </c>
      <c r="C451">
        <v>-0.5</v>
      </c>
      <c r="D451">
        <v>0.25</v>
      </c>
      <c r="E451" s="4">
        <v>0</v>
      </c>
    </row>
    <row r="452" spans="1:5" x14ac:dyDescent="0.35">
      <c r="A452" s="1">
        <v>43916</v>
      </c>
      <c r="B452" s="2">
        <v>43916</v>
      </c>
      <c r="C452">
        <v>-0.5</v>
      </c>
      <c r="D452">
        <v>0.25</v>
      </c>
      <c r="E452" s="4">
        <v>0</v>
      </c>
    </row>
    <row r="453" spans="1:5" x14ac:dyDescent="0.35">
      <c r="A453" s="1">
        <v>43917</v>
      </c>
      <c r="B453" s="2">
        <v>43917</v>
      </c>
      <c r="C453">
        <v>-0.5</v>
      </c>
      <c r="D453">
        <v>0.25</v>
      </c>
      <c r="E453" s="4">
        <v>0</v>
      </c>
    </row>
    <row r="454" spans="1:5" x14ac:dyDescent="0.35">
      <c r="A454" s="1">
        <v>43918</v>
      </c>
      <c r="B454" s="2">
        <v>43918</v>
      </c>
      <c r="C454">
        <v>-0.5</v>
      </c>
      <c r="D454">
        <v>0.25</v>
      </c>
      <c r="E454" s="4">
        <v>0</v>
      </c>
    </row>
    <row r="455" spans="1:5" x14ac:dyDescent="0.35">
      <c r="A455" s="1">
        <v>43919</v>
      </c>
      <c r="B455" s="2">
        <v>43919</v>
      </c>
      <c r="C455">
        <v>-0.5</v>
      </c>
      <c r="D455">
        <v>0.25</v>
      </c>
      <c r="E455" s="4">
        <v>0</v>
      </c>
    </row>
    <row r="456" spans="1:5" x14ac:dyDescent="0.35">
      <c r="A456" s="1">
        <v>43920</v>
      </c>
      <c r="B456" s="2">
        <v>43920</v>
      </c>
      <c r="C456">
        <v>-0.5</v>
      </c>
      <c r="D456">
        <v>0.25</v>
      </c>
      <c r="E456" s="4">
        <v>0</v>
      </c>
    </row>
    <row r="457" spans="1:5" x14ac:dyDescent="0.35">
      <c r="A457" s="1">
        <v>43921</v>
      </c>
      <c r="B457" s="2">
        <v>43921</v>
      </c>
      <c r="C457">
        <v>-0.5</v>
      </c>
      <c r="D457">
        <v>0.25</v>
      </c>
      <c r="E457" s="4">
        <v>0</v>
      </c>
    </row>
    <row r="458" spans="1:5" x14ac:dyDescent="0.35">
      <c r="A458" s="1">
        <v>43922</v>
      </c>
      <c r="B458" s="2">
        <v>43922</v>
      </c>
      <c r="C458">
        <v>-0.5</v>
      </c>
      <c r="D458">
        <v>0.25</v>
      </c>
      <c r="E458" s="4">
        <v>0</v>
      </c>
    </row>
    <row r="459" spans="1:5" x14ac:dyDescent="0.35">
      <c r="A459" s="1">
        <v>43923</v>
      </c>
      <c r="B459" s="2">
        <v>43923</v>
      </c>
      <c r="C459">
        <v>-0.5</v>
      </c>
      <c r="D459">
        <v>0.25</v>
      </c>
      <c r="E459" s="4">
        <v>0</v>
      </c>
    </row>
    <row r="460" spans="1:5" x14ac:dyDescent="0.35">
      <c r="A460" s="1">
        <v>43924</v>
      </c>
      <c r="B460" s="2">
        <v>43924</v>
      </c>
      <c r="C460">
        <v>-0.5</v>
      </c>
      <c r="D460">
        <v>0.25</v>
      </c>
      <c r="E460" s="4">
        <v>0</v>
      </c>
    </row>
    <row r="461" spans="1:5" x14ac:dyDescent="0.35">
      <c r="A461" s="1">
        <v>43925</v>
      </c>
      <c r="B461" s="2">
        <v>43925</v>
      </c>
      <c r="C461">
        <v>-0.5</v>
      </c>
      <c r="D461">
        <v>0.25</v>
      </c>
      <c r="E461" s="4">
        <v>0</v>
      </c>
    </row>
    <row r="462" spans="1:5" x14ac:dyDescent="0.35">
      <c r="A462" s="1">
        <v>43926</v>
      </c>
      <c r="B462" s="2">
        <v>43926</v>
      </c>
      <c r="C462">
        <v>-0.5</v>
      </c>
      <c r="D462">
        <v>0.25</v>
      </c>
      <c r="E462" s="4">
        <v>0</v>
      </c>
    </row>
    <row r="463" spans="1:5" x14ac:dyDescent="0.35">
      <c r="A463" s="1">
        <v>43927</v>
      </c>
      <c r="B463" s="2">
        <v>43927</v>
      </c>
      <c r="C463">
        <v>-0.5</v>
      </c>
      <c r="D463">
        <v>0.25</v>
      </c>
      <c r="E463" s="4">
        <v>0</v>
      </c>
    </row>
    <row r="464" spans="1:5" x14ac:dyDescent="0.35">
      <c r="A464" s="1">
        <v>43928</v>
      </c>
      <c r="B464" s="2">
        <v>43928</v>
      </c>
      <c r="C464">
        <v>-0.5</v>
      </c>
      <c r="D464">
        <v>0.25</v>
      </c>
      <c r="E464" s="4">
        <v>0</v>
      </c>
    </row>
    <row r="465" spans="1:5" x14ac:dyDescent="0.35">
      <c r="A465" s="1">
        <v>43929</v>
      </c>
      <c r="B465" s="2">
        <v>43929</v>
      </c>
      <c r="C465">
        <v>-0.5</v>
      </c>
      <c r="D465">
        <v>0.25</v>
      </c>
      <c r="E465" s="4">
        <v>0</v>
      </c>
    </row>
    <row r="466" spans="1:5" x14ac:dyDescent="0.35">
      <c r="A466" s="1">
        <v>43930</v>
      </c>
      <c r="B466" s="2">
        <v>43930</v>
      </c>
      <c r="C466">
        <v>-0.5</v>
      </c>
      <c r="D466">
        <v>0.25</v>
      </c>
      <c r="E466" s="4">
        <v>0</v>
      </c>
    </row>
    <row r="467" spans="1:5" x14ac:dyDescent="0.35">
      <c r="A467" s="1">
        <v>43931</v>
      </c>
      <c r="B467" s="2">
        <v>43931</v>
      </c>
      <c r="C467">
        <v>-0.5</v>
      </c>
      <c r="D467">
        <v>0.25</v>
      </c>
      <c r="E467" s="4">
        <v>0</v>
      </c>
    </row>
    <row r="468" spans="1:5" x14ac:dyDescent="0.35">
      <c r="A468" s="1">
        <v>43932</v>
      </c>
      <c r="B468" s="2">
        <v>43932</v>
      </c>
      <c r="C468">
        <v>-0.5</v>
      </c>
      <c r="D468">
        <v>0.25</v>
      </c>
      <c r="E468" s="4">
        <v>0</v>
      </c>
    </row>
    <row r="469" spans="1:5" x14ac:dyDescent="0.35">
      <c r="A469" s="1">
        <v>43933</v>
      </c>
      <c r="B469" s="2">
        <v>43933</v>
      </c>
      <c r="C469">
        <v>-0.5</v>
      </c>
      <c r="D469">
        <v>0.25</v>
      </c>
      <c r="E469" s="4">
        <v>0</v>
      </c>
    </row>
    <row r="470" spans="1:5" x14ac:dyDescent="0.35">
      <c r="A470" s="1">
        <v>43934</v>
      </c>
      <c r="B470" s="2">
        <v>43934</v>
      </c>
      <c r="C470">
        <v>-0.5</v>
      </c>
      <c r="D470">
        <v>0.25</v>
      </c>
      <c r="E470" s="4">
        <v>0</v>
      </c>
    </row>
    <row r="471" spans="1:5" x14ac:dyDescent="0.35">
      <c r="A471" s="1">
        <v>43935</v>
      </c>
      <c r="B471" s="2">
        <v>43935</v>
      </c>
      <c r="C471">
        <v>-0.5</v>
      </c>
      <c r="D471">
        <v>0.25</v>
      </c>
      <c r="E471" s="4">
        <v>0</v>
      </c>
    </row>
    <row r="472" spans="1:5" x14ac:dyDescent="0.35">
      <c r="A472" s="1">
        <v>43936</v>
      </c>
      <c r="B472" s="2">
        <v>43936</v>
      </c>
      <c r="C472">
        <v>-0.5</v>
      </c>
      <c r="D472">
        <v>0.25</v>
      </c>
      <c r="E472" s="4">
        <v>0</v>
      </c>
    </row>
    <row r="473" spans="1:5" x14ac:dyDescent="0.35">
      <c r="A473" s="1">
        <v>43937</v>
      </c>
      <c r="B473" s="2">
        <v>43937</v>
      </c>
      <c r="C473">
        <v>-0.5</v>
      </c>
      <c r="D473">
        <v>0.25</v>
      </c>
      <c r="E473" s="4">
        <v>0</v>
      </c>
    </row>
    <row r="474" spans="1:5" x14ac:dyDescent="0.35">
      <c r="A474" s="1">
        <v>43938</v>
      </c>
      <c r="B474" s="2">
        <v>43938</v>
      </c>
      <c r="C474">
        <v>-0.5</v>
      </c>
      <c r="D474">
        <v>0.25</v>
      </c>
      <c r="E474" s="4">
        <v>0</v>
      </c>
    </row>
    <row r="475" spans="1:5" x14ac:dyDescent="0.35">
      <c r="A475" s="1">
        <v>43939</v>
      </c>
      <c r="B475" s="2">
        <v>43939</v>
      </c>
      <c r="C475">
        <v>-0.5</v>
      </c>
      <c r="D475">
        <v>0.25</v>
      </c>
      <c r="E475" s="4">
        <v>0</v>
      </c>
    </row>
    <row r="476" spans="1:5" x14ac:dyDescent="0.35">
      <c r="A476" s="1">
        <v>43940</v>
      </c>
      <c r="B476" s="2">
        <v>43940</v>
      </c>
      <c r="C476">
        <v>-0.5</v>
      </c>
      <c r="D476">
        <v>0.25</v>
      </c>
      <c r="E476" s="4">
        <v>0</v>
      </c>
    </row>
    <row r="477" spans="1:5" x14ac:dyDescent="0.35">
      <c r="A477" s="1">
        <v>43941</v>
      </c>
      <c r="B477" s="2">
        <v>43941</v>
      </c>
      <c r="C477">
        <v>-0.5</v>
      </c>
      <c r="D477">
        <v>0.25</v>
      </c>
      <c r="E477" s="4">
        <v>0</v>
      </c>
    </row>
    <row r="478" spans="1:5" x14ac:dyDescent="0.35">
      <c r="A478" s="1">
        <v>43942</v>
      </c>
      <c r="B478" s="2">
        <v>43942</v>
      </c>
      <c r="C478">
        <v>-0.5</v>
      </c>
      <c r="D478">
        <v>0.25</v>
      </c>
      <c r="E478" s="4">
        <v>0</v>
      </c>
    </row>
    <row r="479" spans="1:5" x14ac:dyDescent="0.35">
      <c r="A479" s="1">
        <v>43943</v>
      </c>
      <c r="B479" s="2">
        <v>43943</v>
      </c>
      <c r="C479">
        <v>-0.5</v>
      </c>
      <c r="D479">
        <v>0.25</v>
      </c>
      <c r="E479" s="4">
        <v>0</v>
      </c>
    </row>
    <row r="480" spans="1:5" x14ac:dyDescent="0.35">
      <c r="A480" s="1">
        <v>43944</v>
      </c>
      <c r="B480" s="2">
        <v>43944</v>
      </c>
      <c r="C480">
        <v>-0.5</v>
      </c>
      <c r="D480">
        <v>0.25</v>
      </c>
      <c r="E480" s="4">
        <v>0</v>
      </c>
    </row>
    <row r="481" spans="1:5" x14ac:dyDescent="0.35">
      <c r="A481" s="1">
        <v>43945</v>
      </c>
      <c r="B481" s="2">
        <v>43945</v>
      </c>
      <c r="C481">
        <v>-0.5</v>
      </c>
      <c r="D481">
        <v>0.25</v>
      </c>
      <c r="E481" s="4">
        <v>0</v>
      </c>
    </row>
    <row r="482" spans="1:5" x14ac:dyDescent="0.35">
      <c r="A482" s="1">
        <v>43946</v>
      </c>
      <c r="B482" s="2">
        <v>43946</v>
      </c>
      <c r="C482">
        <v>-0.5</v>
      </c>
      <c r="D482">
        <v>0.25</v>
      </c>
      <c r="E482" s="4">
        <v>0</v>
      </c>
    </row>
    <row r="483" spans="1:5" x14ac:dyDescent="0.35">
      <c r="A483" s="1">
        <v>43947</v>
      </c>
      <c r="B483" s="2">
        <v>43947</v>
      </c>
      <c r="C483">
        <v>-0.5</v>
      </c>
      <c r="D483">
        <v>0.25</v>
      </c>
      <c r="E483" s="4">
        <v>0</v>
      </c>
    </row>
    <row r="484" spans="1:5" x14ac:dyDescent="0.35">
      <c r="A484" s="1">
        <v>43948</v>
      </c>
      <c r="B484" s="2">
        <v>43948</v>
      </c>
      <c r="C484">
        <v>-0.5</v>
      </c>
      <c r="D484">
        <v>0.25</v>
      </c>
      <c r="E484" s="4">
        <v>0</v>
      </c>
    </row>
    <row r="485" spans="1:5" x14ac:dyDescent="0.35">
      <c r="A485" s="1">
        <v>43949</v>
      </c>
      <c r="B485" s="2">
        <v>43949</v>
      </c>
      <c r="C485">
        <v>-0.5</v>
      </c>
      <c r="D485">
        <v>0.25</v>
      </c>
      <c r="E485" s="4">
        <v>0</v>
      </c>
    </row>
    <row r="486" spans="1:5" x14ac:dyDescent="0.35">
      <c r="A486" s="1">
        <v>43950</v>
      </c>
      <c r="B486" s="2">
        <v>43950</v>
      </c>
      <c r="C486">
        <v>-0.5</v>
      </c>
      <c r="D486">
        <v>0.25</v>
      </c>
      <c r="E486" s="4">
        <v>0</v>
      </c>
    </row>
    <row r="487" spans="1:5" x14ac:dyDescent="0.35">
      <c r="A487" s="1">
        <v>43951</v>
      </c>
      <c r="B487" s="2">
        <v>43951</v>
      </c>
      <c r="C487">
        <v>-0.5</v>
      </c>
      <c r="D487">
        <v>0.25</v>
      </c>
      <c r="E487" s="4">
        <v>0</v>
      </c>
    </row>
    <row r="488" spans="1:5" x14ac:dyDescent="0.35">
      <c r="A488" s="1">
        <v>43952</v>
      </c>
      <c r="B488" s="2">
        <v>43952</v>
      </c>
      <c r="C488">
        <v>-0.5</v>
      </c>
      <c r="D488">
        <v>0.25</v>
      </c>
      <c r="E488" s="4">
        <v>0</v>
      </c>
    </row>
    <row r="489" spans="1:5" x14ac:dyDescent="0.35">
      <c r="A489" s="1">
        <v>43953</v>
      </c>
      <c r="B489" s="2">
        <v>43953</v>
      </c>
      <c r="C489">
        <v>-0.5</v>
      </c>
      <c r="D489">
        <v>0.25</v>
      </c>
      <c r="E489" s="4">
        <v>0</v>
      </c>
    </row>
    <row r="490" spans="1:5" x14ac:dyDescent="0.35">
      <c r="A490" s="1">
        <v>43954</v>
      </c>
      <c r="B490" s="2">
        <v>43954</v>
      </c>
      <c r="C490">
        <v>-0.5</v>
      </c>
      <c r="D490">
        <v>0.25</v>
      </c>
      <c r="E490" s="4">
        <v>0</v>
      </c>
    </row>
    <row r="491" spans="1:5" x14ac:dyDescent="0.35">
      <c r="A491" s="1">
        <v>43955</v>
      </c>
      <c r="B491" s="2">
        <v>43955</v>
      </c>
      <c r="C491">
        <v>-0.5</v>
      </c>
      <c r="D491">
        <v>0.25</v>
      </c>
      <c r="E491" s="4">
        <v>0</v>
      </c>
    </row>
    <row r="492" spans="1:5" x14ac:dyDescent="0.35">
      <c r="A492" s="1">
        <v>43956</v>
      </c>
      <c r="B492" s="2">
        <v>43956</v>
      </c>
      <c r="C492">
        <v>-0.5</v>
      </c>
      <c r="D492">
        <v>0.25</v>
      </c>
      <c r="E492" s="4">
        <v>0</v>
      </c>
    </row>
    <row r="493" spans="1:5" x14ac:dyDescent="0.35">
      <c r="A493" s="1">
        <v>43957</v>
      </c>
      <c r="B493" s="2">
        <v>43957</v>
      </c>
      <c r="C493">
        <v>-0.5</v>
      </c>
      <c r="D493">
        <v>0.25</v>
      </c>
      <c r="E493" s="4">
        <v>0</v>
      </c>
    </row>
    <row r="494" spans="1:5" x14ac:dyDescent="0.35">
      <c r="A494" s="1">
        <v>43958</v>
      </c>
      <c r="B494" s="2">
        <v>43958</v>
      </c>
      <c r="C494">
        <v>-0.5</v>
      </c>
      <c r="D494">
        <v>0.25</v>
      </c>
      <c r="E494" s="4">
        <v>0</v>
      </c>
    </row>
    <row r="495" spans="1:5" x14ac:dyDescent="0.35">
      <c r="A495" s="1">
        <v>43959</v>
      </c>
      <c r="B495" s="2">
        <v>43959</v>
      </c>
      <c r="C495">
        <v>-0.5</v>
      </c>
      <c r="D495">
        <v>0.25</v>
      </c>
      <c r="E495" s="4">
        <v>0</v>
      </c>
    </row>
    <row r="496" spans="1:5" x14ac:dyDescent="0.35">
      <c r="A496" s="1">
        <v>43960</v>
      </c>
      <c r="B496" s="2">
        <v>43960</v>
      </c>
      <c r="C496">
        <v>-0.5</v>
      </c>
      <c r="D496">
        <v>0.25</v>
      </c>
      <c r="E496" s="4">
        <v>0</v>
      </c>
    </row>
    <row r="497" spans="1:5" x14ac:dyDescent="0.35">
      <c r="A497" s="1">
        <v>43961</v>
      </c>
      <c r="B497" s="2">
        <v>43961</v>
      </c>
      <c r="C497">
        <v>-0.5</v>
      </c>
      <c r="D497">
        <v>0.25</v>
      </c>
      <c r="E497" s="4">
        <v>0</v>
      </c>
    </row>
    <row r="498" spans="1:5" x14ac:dyDescent="0.35">
      <c r="A498" s="1">
        <v>43962</v>
      </c>
      <c r="B498" s="2">
        <v>43962</v>
      </c>
      <c r="C498">
        <v>-0.5</v>
      </c>
      <c r="D498">
        <v>0.25</v>
      </c>
      <c r="E498" s="4">
        <v>0</v>
      </c>
    </row>
    <row r="499" spans="1:5" x14ac:dyDescent="0.35">
      <c r="A499" s="1">
        <v>43963</v>
      </c>
      <c r="B499" s="2">
        <v>43963</v>
      </c>
      <c r="C499">
        <v>-0.5</v>
      </c>
      <c r="D499">
        <v>0.25</v>
      </c>
      <c r="E499" s="4">
        <v>0</v>
      </c>
    </row>
    <row r="500" spans="1:5" x14ac:dyDescent="0.35">
      <c r="A500" s="1">
        <v>43964</v>
      </c>
      <c r="B500" s="2">
        <v>43964</v>
      </c>
      <c r="C500">
        <v>-0.5</v>
      </c>
      <c r="D500">
        <v>0.25</v>
      </c>
      <c r="E500" s="4">
        <v>0</v>
      </c>
    </row>
    <row r="501" spans="1:5" x14ac:dyDescent="0.35">
      <c r="A501" s="1">
        <v>43965</v>
      </c>
      <c r="B501" s="2">
        <v>43965</v>
      </c>
      <c r="C501">
        <v>-0.5</v>
      </c>
      <c r="D501">
        <v>0.25</v>
      </c>
      <c r="E501" s="4">
        <v>0</v>
      </c>
    </row>
    <row r="502" spans="1:5" x14ac:dyDescent="0.35">
      <c r="A502" s="1">
        <v>43966</v>
      </c>
      <c r="B502" s="2">
        <v>43966</v>
      </c>
      <c r="C502">
        <v>-0.5</v>
      </c>
      <c r="D502">
        <v>0.25</v>
      </c>
      <c r="E502" s="4">
        <v>0</v>
      </c>
    </row>
    <row r="503" spans="1:5" x14ac:dyDescent="0.35">
      <c r="A503" s="1">
        <v>43967</v>
      </c>
      <c r="B503" s="2">
        <v>43967</v>
      </c>
      <c r="C503">
        <v>-0.5</v>
      </c>
      <c r="D503">
        <v>0.25</v>
      </c>
      <c r="E503" s="4">
        <v>0</v>
      </c>
    </row>
    <row r="504" spans="1:5" x14ac:dyDescent="0.35">
      <c r="A504" s="1">
        <v>43968</v>
      </c>
      <c r="B504" s="2">
        <v>43968</v>
      </c>
      <c r="C504">
        <v>-0.5</v>
      </c>
      <c r="D504">
        <v>0.25</v>
      </c>
      <c r="E504" s="4">
        <v>0</v>
      </c>
    </row>
    <row r="505" spans="1:5" x14ac:dyDescent="0.35">
      <c r="A505" s="1">
        <v>43969</v>
      </c>
      <c r="B505" s="2">
        <v>43969</v>
      </c>
      <c r="C505">
        <v>-0.5</v>
      </c>
      <c r="D505">
        <v>0.25</v>
      </c>
      <c r="E505" s="4">
        <v>0</v>
      </c>
    </row>
    <row r="506" spans="1:5" x14ac:dyDescent="0.35">
      <c r="A506" s="1">
        <v>43970</v>
      </c>
      <c r="B506" s="2">
        <v>43970</v>
      </c>
      <c r="C506">
        <v>-0.5</v>
      </c>
      <c r="D506">
        <v>0.25</v>
      </c>
      <c r="E506" s="4">
        <v>0</v>
      </c>
    </row>
    <row r="507" spans="1:5" x14ac:dyDescent="0.35">
      <c r="A507" s="1">
        <v>43971</v>
      </c>
      <c r="B507" s="2">
        <v>43971</v>
      </c>
      <c r="C507">
        <v>-0.5</v>
      </c>
      <c r="D507">
        <v>0.25</v>
      </c>
      <c r="E507" s="4">
        <v>0</v>
      </c>
    </row>
    <row r="508" spans="1:5" x14ac:dyDescent="0.35">
      <c r="A508" s="1">
        <v>43972</v>
      </c>
      <c r="B508" s="2">
        <v>43972</v>
      </c>
      <c r="C508">
        <v>-0.5</v>
      </c>
      <c r="D508">
        <v>0.25</v>
      </c>
      <c r="E508" s="4">
        <v>0</v>
      </c>
    </row>
    <row r="509" spans="1:5" x14ac:dyDescent="0.35">
      <c r="A509" s="1">
        <v>43973</v>
      </c>
      <c r="B509" s="2">
        <v>43973</v>
      </c>
      <c r="C509">
        <v>-0.5</v>
      </c>
      <c r="D509">
        <v>0.25</v>
      </c>
      <c r="E509" s="4">
        <v>0</v>
      </c>
    </row>
    <row r="510" spans="1:5" x14ac:dyDescent="0.35">
      <c r="A510" s="1">
        <v>43974</v>
      </c>
      <c r="B510" s="2">
        <v>43974</v>
      </c>
      <c r="C510">
        <v>-0.5</v>
      </c>
      <c r="D510">
        <v>0.25</v>
      </c>
      <c r="E510" s="4">
        <v>0</v>
      </c>
    </row>
    <row r="511" spans="1:5" x14ac:dyDescent="0.35">
      <c r="A511" s="1">
        <v>43975</v>
      </c>
      <c r="B511" s="2">
        <v>43975</v>
      </c>
      <c r="C511">
        <v>-0.5</v>
      </c>
      <c r="D511">
        <v>0.25</v>
      </c>
      <c r="E511" s="4">
        <v>0</v>
      </c>
    </row>
    <row r="512" spans="1:5" x14ac:dyDescent="0.35">
      <c r="A512" s="1">
        <v>43976</v>
      </c>
      <c r="B512" s="2">
        <v>43976</v>
      </c>
      <c r="C512">
        <v>-0.5</v>
      </c>
      <c r="D512">
        <v>0.25</v>
      </c>
      <c r="E512" s="4">
        <v>0</v>
      </c>
    </row>
    <row r="513" spans="1:5" x14ac:dyDescent="0.35">
      <c r="A513" s="1">
        <v>43977</v>
      </c>
      <c r="B513" s="2">
        <v>43977</v>
      </c>
      <c r="C513">
        <v>-0.5</v>
      </c>
      <c r="D513">
        <v>0.25</v>
      </c>
      <c r="E513" s="4">
        <v>0</v>
      </c>
    </row>
    <row r="514" spans="1:5" x14ac:dyDescent="0.35">
      <c r="A514" s="1">
        <v>43978</v>
      </c>
      <c r="B514" s="2">
        <v>43978</v>
      </c>
      <c r="C514">
        <v>-0.5</v>
      </c>
      <c r="D514">
        <v>0.25</v>
      </c>
      <c r="E514" s="4">
        <v>0</v>
      </c>
    </row>
    <row r="515" spans="1:5" x14ac:dyDescent="0.35">
      <c r="A515" s="1">
        <v>43979</v>
      </c>
      <c r="B515" s="2">
        <v>43979</v>
      </c>
      <c r="C515">
        <v>-0.5</v>
      </c>
      <c r="D515">
        <v>0.25</v>
      </c>
      <c r="E515" s="4">
        <v>0</v>
      </c>
    </row>
    <row r="516" spans="1:5" x14ac:dyDescent="0.35">
      <c r="A516" s="1">
        <v>43980</v>
      </c>
      <c r="B516" s="2">
        <v>43980</v>
      </c>
      <c r="C516">
        <v>-0.5</v>
      </c>
      <c r="D516">
        <v>0.25</v>
      </c>
      <c r="E516" s="4">
        <v>0</v>
      </c>
    </row>
    <row r="517" spans="1:5" x14ac:dyDescent="0.35">
      <c r="A517" s="1">
        <v>43981</v>
      </c>
      <c r="B517" s="2">
        <v>43981</v>
      </c>
      <c r="C517">
        <v>-0.5</v>
      </c>
      <c r="D517">
        <v>0.25</v>
      </c>
      <c r="E517" s="4">
        <v>0</v>
      </c>
    </row>
    <row r="518" spans="1:5" x14ac:dyDescent="0.35">
      <c r="A518" s="1">
        <v>43982</v>
      </c>
      <c r="B518" s="2">
        <v>43982</v>
      </c>
      <c r="C518">
        <v>-0.5</v>
      </c>
      <c r="D518">
        <v>0.25</v>
      </c>
      <c r="E518" s="4">
        <v>0</v>
      </c>
    </row>
    <row r="519" spans="1:5" x14ac:dyDescent="0.35">
      <c r="A519" s="1">
        <v>43983</v>
      </c>
      <c r="B519" s="2">
        <v>43983</v>
      </c>
      <c r="C519">
        <v>-0.5</v>
      </c>
      <c r="D519">
        <v>0.25</v>
      </c>
      <c r="E519" s="4">
        <v>0</v>
      </c>
    </row>
    <row r="520" spans="1:5" x14ac:dyDescent="0.35">
      <c r="A520" s="1">
        <v>43984</v>
      </c>
      <c r="B520" s="2">
        <v>43984</v>
      </c>
      <c r="C520">
        <v>-0.5</v>
      </c>
      <c r="D520">
        <v>0.25</v>
      </c>
      <c r="E520" s="4">
        <v>0</v>
      </c>
    </row>
    <row r="521" spans="1:5" x14ac:dyDescent="0.35">
      <c r="A521" s="1">
        <v>43985</v>
      </c>
      <c r="B521" s="2">
        <v>43985</v>
      </c>
      <c r="C521">
        <v>-0.5</v>
      </c>
      <c r="D521">
        <v>0.25</v>
      </c>
      <c r="E521" s="4">
        <v>0</v>
      </c>
    </row>
    <row r="522" spans="1:5" x14ac:dyDescent="0.35">
      <c r="A522" s="1">
        <v>43986</v>
      </c>
      <c r="B522" s="2">
        <v>43986</v>
      </c>
      <c r="C522">
        <v>-0.5</v>
      </c>
      <c r="D522">
        <v>0.25</v>
      </c>
      <c r="E522" s="4">
        <v>0</v>
      </c>
    </row>
    <row r="523" spans="1:5" x14ac:dyDescent="0.35">
      <c r="A523" s="1">
        <v>43987</v>
      </c>
      <c r="B523" s="2">
        <v>43987</v>
      </c>
      <c r="C523">
        <v>-0.5</v>
      </c>
      <c r="D523">
        <v>0.25</v>
      </c>
      <c r="E523" s="4">
        <v>0</v>
      </c>
    </row>
    <row r="524" spans="1:5" x14ac:dyDescent="0.35">
      <c r="A524" s="1">
        <v>43988</v>
      </c>
      <c r="B524" s="2">
        <v>43988</v>
      </c>
      <c r="C524">
        <v>-0.5</v>
      </c>
      <c r="D524">
        <v>0.25</v>
      </c>
      <c r="E524" s="4">
        <v>0</v>
      </c>
    </row>
    <row r="525" spans="1:5" x14ac:dyDescent="0.35">
      <c r="A525" s="1">
        <v>43989</v>
      </c>
      <c r="B525" s="2">
        <v>43989</v>
      </c>
      <c r="C525">
        <v>-0.5</v>
      </c>
      <c r="D525">
        <v>0.25</v>
      </c>
      <c r="E525" s="4">
        <v>0</v>
      </c>
    </row>
    <row r="526" spans="1:5" x14ac:dyDescent="0.35">
      <c r="A526" s="1">
        <v>43990</v>
      </c>
      <c r="B526" s="2">
        <v>43990</v>
      </c>
      <c r="C526">
        <v>-0.5</v>
      </c>
      <c r="D526">
        <v>0.25</v>
      </c>
      <c r="E526" s="4">
        <v>0</v>
      </c>
    </row>
    <row r="527" spans="1:5" x14ac:dyDescent="0.35">
      <c r="A527" s="1">
        <v>43991</v>
      </c>
      <c r="B527" s="2">
        <v>43991</v>
      </c>
      <c r="C527">
        <v>-0.5</v>
      </c>
      <c r="D527">
        <v>0.25</v>
      </c>
      <c r="E527" s="4">
        <v>0</v>
      </c>
    </row>
    <row r="528" spans="1:5" x14ac:dyDescent="0.35">
      <c r="A528" s="1">
        <v>43992</v>
      </c>
      <c r="B528" s="2">
        <v>43992</v>
      </c>
      <c r="C528">
        <v>-0.5</v>
      </c>
      <c r="D528">
        <v>0.25</v>
      </c>
      <c r="E528" s="4">
        <v>0</v>
      </c>
    </row>
    <row r="529" spans="1:5" x14ac:dyDescent="0.35">
      <c r="A529" s="1">
        <v>43993</v>
      </c>
      <c r="B529" s="2">
        <v>43993</v>
      </c>
      <c r="C529">
        <v>-0.5</v>
      </c>
      <c r="D529">
        <v>0.25</v>
      </c>
      <c r="E529" s="4">
        <v>0</v>
      </c>
    </row>
    <row r="530" spans="1:5" x14ac:dyDescent="0.35">
      <c r="A530" s="1">
        <v>43994</v>
      </c>
      <c r="B530" s="2">
        <v>43994</v>
      </c>
      <c r="C530">
        <v>-0.5</v>
      </c>
      <c r="D530">
        <v>0.25</v>
      </c>
      <c r="E530" s="4">
        <v>0</v>
      </c>
    </row>
    <row r="531" spans="1:5" x14ac:dyDescent="0.35">
      <c r="A531" s="1">
        <v>43995</v>
      </c>
      <c r="B531" s="2">
        <v>43995</v>
      </c>
      <c r="C531">
        <v>-0.5</v>
      </c>
      <c r="D531">
        <v>0.25</v>
      </c>
      <c r="E531" s="4">
        <v>0</v>
      </c>
    </row>
    <row r="532" spans="1:5" x14ac:dyDescent="0.35">
      <c r="A532" s="1">
        <v>43996</v>
      </c>
      <c r="B532" s="2">
        <v>43996</v>
      </c>
      <c r="C532">
        <v>-0.5</v>
      </c>
      <c r="D532">
        <v>0.25</v>
      </c>
      <c r="E532" s="4">
        <v>0</v>
      </c>
    </row>
    <row r="533" spans="1:5" x14ac:dyDescent="0.35">
      <c r="A533" s="1">
        <v>43997</v>
      </c>
      <c r="B533" s="2">
        <v>43997</v>
      </c>
      <c r="C533">
        <v>-0.5</v>
      </c>
      <c r="D533">
        <v>0.25</v>
      </c>
      <c r="E533" s="4">
        <v>0</v>
      </c>
    </row>
    <row r="534" spans="1:5" x14ac:dyDescent="0.35">
      <c r="A534" s="1">
        <v>43998</v>
      </c>
      <c r="B534" s="2">
        <v>43998</v>
      </c>
      <c r="C534">
        <v>-0.5</v>
      </c>
      <c r="D534">
        <v>0.25</v>
      </c>
      <c r="E534" s="4">
        <v>0</v>
      </c>
    </row>
    <row r="535" spans="1:5" x14ac:dyDescent="0.35">
      <c r="A535" s="1">
        <v>43999</v>
      </c>
      <c r="B535" s="2">
        <v>43999</v>
      </c>
      <c r="C535">
        <v>-0.5</v>
      </c>
      <c r="D535">
        <v>0.25</v>
      </c>
      <c r="E535" s="4">
        <v>0</v>
      </c>
    </row>
    <row r="536" spans="1:5" x14ac:dyDescent="0.35">
      <c r="A536" s="1">
        <v>44000</v>
      </c>
      <c r="B536" s="2">
        <v>44000</v>
      </c>
      <c r="C536">
        <v>-0.5</v>
      </c>
      <c r="D536">
        <v>0.25</v>
      </c>
      <c r="E536" s="4">
        <v>0</v>
      </c>
    </row>
    <row r="537" spans="1:5" x14ac:dyDescent="0.35">
      <c r="A537" s="1">
        <v>44001</v>
      </c>
      <c r="B537" s="2">
        <v>44001</v>
      </c>
      <c r="C537">
        <v>-0.5</v>
      </c>
      <c r="D537">
        <v>0.25</v>
      </c>
      <c r="E537" s="4">
        <v>0</v>
      </c>
    </row>
    <row r="538" spans="1:5" x14ac:dyDescent="0.35">
      <c r="A538" s="1">
        <v>44002</v>
      </c>
      <c r="B538" s="2">
        <v>44002</v>
      </c>
      <c r="C538">
        <v>-0.5</v>
      </c>
      <c r="D538">
        <v>0.25</v>
      </c>
      <c r="E538" s="4">
        <v>0</v>
      </c>
    </row>
    <row r="539" spans="1:5" x14ac:dyDescent="0.35">
      <c r="A539" s="1">
        <v>44003</v>
      </c>
      <c r="B539" s="2">
        <v>44003</v>
      </c>
      <c r="C539">
        <v>-0.5</v>
      </c>
      <c r="D539">
        <v>0.25</v>
      </c>
      <c r="E539" s="4">
        <v>0</v>
      </c>
    </row>
    <row r="540" spans="1:5" x14ac:dyDescent="0.35">
      <c r="A540" s="1">
        <v>44004</v>
      </c>
      <c r="B540" s="2">
        <v>44004</v>
      </c>
      <c r="C540">
        <v>-0.5</v>
      </c>
      <c r="D540">
        <v>0.25</v>
      </c>
      <c r="E540" s="4">
        <v>0</v>
      </c>
    </row>
    <row r="541" spans="1:5" x14ac:dyDescent="0.35">
      <c r="A541" s="1">
        <v>44005</v>
      </c>
      <c r="B541" s="2">
        <v>44005</v>
      </c>
      <c r="C541">
        <v>-0.5</v>
      </c>
      <c r="D541">
        <v>0.25</v>
      </c>
      <c r="E541" s="4">
        <v>0</v>
      </c>
    </row>
    <row r="542" spans="1:5" x14ac:dyDescent="0.35">
      <c r="A542" s="1">
        <v>44006</v>
      </c>
      <c r="B542" s="2">
        <v>44006</v>
      </c>
      <c r="C542">
        <v>-0.5</v>
      </c>
      <c r="D542">
        <v>0.25</v>
      </c>
      <c r="E542" s="4">
        <v>0</v>
      </c>
    </row>
    <row r="543" spans="1:5" x14ac:dyDescent="0.35">
      <c r="A543" s="1">
        <v>44007</v>
      </c>
      <c r="B543" s="2">
        <v>44007</v>
      </c>
      <c r="C543">
        <v>-0.5</v>
      </c>
      <c r="D543">
        <v>0.25</v>
      </c>
      <c r="E543" s="4">
        <v>0</v>
      </c>
    </row>
    <row r="544" spans="1:5" x14ac:dyDescent="0.35">
      <c r="A544" s="1">
        <v>44008</v>
      </c>
      <c r="B544" s="2">
        <v>44008</v>
      </c>
      <c r="C544">
        <v>-0.5</v>
      </c>
      <c r="D544">
        <v>0.25</v>
      </c>
      <c r="E544" s="4">
        <v>0</v>
      </c>
    </row>
    <row r="545" spans="1:5" x14ac:dyDescent="0.35">
      <c r="A545" s="1">
        <v>44009</v>
      </c>
      <c r="B545" s="2">
        <v>44009</v>
      </c>
      <c r="C545">
        <v>-0.5</v>
      </c>
      <c r="D545">
        <v>0.25</v>
      </c>
      <c r="E545" s="4">
        <v>0</v>
      </c>
    </row>
    <row r="546" spans="1:5" x14ac:dyDescent="0.35">
      <c r="A546" s="1">
        <v>44010</v>
      </c>
      <c r="B546" s="2">
        <v>44010</v>
      </c>
      <c r="C546">
        <v>-0.5</v>
      </c>
      <c r="D546">
        <v>0.25</v>
      </c>
      <c r="E546" s="4">
        <v>0</v>
      </c>
    </row>
    <row r="547" spans="1:5" x14ac:dyDescent="0.35">
      <c r="A547" s="1">
        <v>44011</v>
      </c>
      <c r="B547" s="2">
        <v>44011</v>
      </c>
      <c r="C547">
        <v>-0.5</v>
      </c>
      <c r="D547">
        <v>0.25</v>
      </c>
      <c r="E547" s="4">
        <v>0</v>
      </c>
    </row>
    <row r="548" spans="1:5" x14ac:dyDescent="0.35">
      <c r="A548" s="1">
        <v>44012</v>
      </c>
      <c r="B548" s="2">
        <v>44012</v>
      </c>
      <c r="C548">
        <v>-0.5</v>
      </c>
      <c r="D548">
        <v>0.25</v>
      </c>
      <c r="E548" s="4">
        <v>0</v>
      </c>
    </row>
    <row r="549" spans="1:5" x14ac:dyDescent="0.35">
      <c r="A549" s="1">
        <v>44013</v>
      </c>
      <c r="B549" s="2">
        <v>44013</v>
      </c>
      <c r="C549">
        <v>-0.5</v>
      </c>
      <c r="D549">
        <v>0.25</v>
      </c>
      <c r="E549" s="4">
        <v>0</v>
      </c>
    </row>
    <row r="550" spans="1:5" x14ac:dyDescent="0.35">
      <c r="A550" s="1">
        <v>44014</v>
      </c>
      <c r="B550" s="2">
        <v>44014</v>
      </c>
      <c r="C550">
        <v>-0.5</v>
      </c>
      <c r="D550">
        <v>0.25</v>
      </c>
      <c r="E550" s="4">
        <v>0</v>
      </c>
    </row>
    <row r="551" spans="1:5" x14ac:dyDescent="0.35">
      <c r="A551" s="1">
        <v>44015</v>
      </c>
      <c r="B551" s="2">
        <v>44015</v>
      </c>
      <c r="C551">
        <v>-0.5</v>
      </c>
      <c r="D551">
        <v>0.25</v>
      </c>
      <c r="E551" s="4">
        <v>0</v>
      </c>
    </row>
    <row r="552" spans="1:5" x14ac:dyDescent="0.35">
      <c r="A552" s="1">
        <v>44016</v>
      </c>
      <c r="B552" s="2">
        <v>44016</v>
      </c>
      <c r="C552">
        <v>-0.5</v>
      </c>
      <c r="D552">
        <v>0.25</v>
      </c>
      <c r="E552" s="4">
        <v>0</v>
      </c>
    </row>
    <row r="553" spans="1:5" x14ac:dyDescent="0.35">
      <c r="A553" s="1">
        <v>44017</v>
      </c>
      <c r="B553" s="2">
        <v>44017</v>
      </c>
      <c r="C553">
        <v>-0.5</v>
      </c>
      <c r="D553">
        <v>0.25</v>
      </c>
      <c r="E553" s="4">
        <v>0</v>
      </c>
    </row>
    <row r="554" spans="1:5" x14ac:dyDescent="0.35">
      <c r="A554" s="1">
        <v>44018</v>
      </c>
      <c r="B554" s="2">
        <v>44018</v>
      </c>
      <c r="C554">
        <v>-0.5</v>
      </c>
      <c r="D554">
        <v>0.25</v>
      </c>
      <c r="E554" s="4">
        <v>0</v>
      </c>
    </row>
    <row r="555" spans="1:5" x14ac:dyDescent="0.35">
      <c r="A555" s="1">
        <v>44019</v>
      </c>
      <c r="B555" s="2">
        <v>44019</v>
      </c>
      <c r="C555">
        <v>-0.5</v>
      </c>
      <c r="D555">
        <v>0.25</v>
      </c>
      <c r="E555" s="4">
        <v>0</v>
      </c>
    </row>
    <row r="556" spans="1:5" x14ac:dyDescent="0.35">
      <c r="A556" s="1">
        <v>44020</v>
      </c>
      <c r="B556" s="2">
        <v>44020</v>
      </c>
      <c r="C556">
        <v>-0.5</v>
      </c>
      <c r="D556">
        <v>0.25</v>
      </c>
      <c r="E556" s="4">
        <v>0</v>
      </c>
    </row>
    <row r="557" spans="1:5" x14ac:dyDescent="0.35">
      <c r="A557" s="1">
        <v>44021</v>
      </c>
      <c r="B557" s="2">
        <v>44021</v>
      </c>
      <c r="C557">
        <v>-0.5</v>
      </c>
      <c r="D557">
        <v>0.25</v>
      </c>
      <c r="E557" s="4">
        <v>0</v>
      </c>
    </row>
    <row r="558" spans="1:5" x14ac:dyDescent="0.35">
      <c r="A558" s="1">
        <v>44022</v>
      </c>
      <c r="B558" s="2">
        <v>44022</v>
      </c>
      <c r="C558">
        <v>-0.5</v>
      </c>
      <c r="D558">
        <v>0.25</v>
      </c>
      <c r="E558" s="4">
        <v>0</v>
      </c>
    </row>
    <row r="559" spans="1:5" x14ac:dyDescent="0.35">
      <c r="A559" s="1">
        <v>44023</v>
      </c>
      <c r="B559" s="2">
        <v>44023</v>
      </c>
      <c r="C559">
        <v>-0.5</v>
      </c>
      <c r="D559">
        <v>0.25</v>
      </c>
      <c r="E559" s="4">
        <v>0</v>
      </c>
    </row>
    <row r="560" spans="1:5" x14ac:dyDescent="0.35">
      <c r="A560" s="1">
        <v>44024</v>
      </c>
      <c r="B560" s="2">
        <v>44024</v>
      </c>
      <c r="C560">
        <v>-0.5</v>
      </c>
      <c r="D560">
        <v>0.25</v>
      </c>
      <c r="E560" s="4">
        <v>0</v>
      </c>
    </row>
    <row r="561" spans="1:5" x14ac:dyDescent="0.35">
      <c r="A561" s="1">
        <v>44025</v>
      </c>
      <c r="B561" s="2">
        <v>44025</v>
      </c>
      <c r="C561">
        <v>-0.5</v>
      </c>
      <c r="D561">
        <v>0.25</v>
      </c>
      <c r="E561" s="4">
        <v>0</v>
      </c>
    </row>
    <row r="562" spans="1:5" x14ac:dyDescent="0.35">
      <c r="A562" s="1">
        <v>44026</v>
      </c>
      <c r="B562" s="2">
        <v>44026</v>
      </c>
      <c r="C562">
        <v>-0.5</v>
      </c>
      <c r="D562">
        <v>0.25</v>
      </c>
      <c r="E562" s="4">
        <v>0</v>
      </c>
    </row>
    <row r="563" spans="1:5" x14ac:dyDescent="0.35">
      <c r="A563" s="1">
        <v>44027</v>
      </c>
      <c r="B563" s="2">
        <v>44027</v>
      </c>
      <c r="C563">
        <v>-0.5</v>
      </c>
      <c r="D563">
        <v>0.25</v>
      </c>
      <c r="E563" s="4">
        <v>0</v>
      </c>
    </row>
    <row r="564" spans="1:5" x14ac:dyDescent="0.35">
      <c r="A564" s="1">
        <v>44028</v>
      </c>
      <c r="B564" s="2">
        <v>44028</v>
      </c>
      <c r="C564">
        <v>-0.5</v>
      </c>
      <c r="D564">
        <v>0.25</v>
      </c>
      <c r="E564" s="4">
        <v>0</v>
      </c>
    </row>
    <row r="565" spans="1:5" x14ac:dyDescent="0.35">
      <c r="A565" s="1">
        <v>44029</v>
      </c>
      <c r="B565" s="2">
        <v>44029</v>
      </c>
      <c r="C565">
        <v>-0.5</v>
      </c>
      <c r="D565">
        <v>0.25</v>
      </c>
      <c r="E565" s="4">
        <v>0</v>
      </c>
    </row>
    <row r="566" spans="1:5" x14ac:dyDescent="0.35">
      <c r="A566" s="1">
        <v>44030</v>
      </c>
      <c r="B566" s="2">
        <v>44030</v>
      </c>
      <c r="C566">
        <v>-0.5</v>
      </c>
      <c r="D566">
        <v>0.25</v>
      </c>
      <c r="E566" s="4">
        <v>0</v>
      </c>
    </row>
    <row r="567" spans="1:5" x14ac:dyDescent="0.35">
      <c r="A567" s="1">
        <v>44031</v>
      </c>
      <c r="B567" s="2">
        <v>44031</v>
      </c>
      <c r="C567">
        <v>-0.5</v>
      </c>
      <c r="D567">
        <v>0.25</v>
      </c>
      <c r="E567" s="4">
        <v>0</v>
      </c>
    </row>
    <row r="568" spans="1:5" x14ac:dyDescent="0.35">
      <c r="A568" s="1">
        <v>44032</v>
      </c>
      <c r="B568" s="2">
        <v>44032</v>
      </c>
      <c r="C568">
        <v>-0.5</v>
      </c>
      <c r="D568">
        <v>0.25</v>
      </c>
      <c r="E568" s="4">
        <v>0</v>
      </c>
    </row>
    <row r="569" spans="1:5" x14ac:dyDescent="0.35">
      <c r="A569" s="1">
        <v>44033</v>
      </c>
      <c r="B569" s="2">
        <v>44033</v>
      </c>
      <c r="C569">
        <v>-0.5</v>
      </c>
      <c r="D569">
        <v>0.25</v>
      </c>
      <c r="E569" s="4">
        <v>0</v>
      </c>
    </row>
    <row r="570" spans="1:5" x14ac:dyDescent="0.35">
      <c r="A570" s="1">
        <v>44034</v>
      </c>
      <c r="B570" s="2">
        <v>44034</v>
      </c>
      <c r="C570">
        <v>-0.5</v>
      </c>
      <c r="D570">
        <v>0.25</v>
      </c>
      <c r="E570" s="4">
        <v>0</v>
      </c>
    </row>
    <row r="571" spans="1:5" x14ac:dyDescent="0.35">
      <c r="A571" s="1">
        <v>44035</v>
      </c>
      <c r="B571" s="2">
        <v>44035</v>
      </c>
      <c r="C571">
        <v>-0.5</v>
      </c>
      <c r="D571">
        <v>0.25</v>
      </c>
      <c r="E571" s="4">
        <v>0</v>
      </c>
    </row>
    <row r="572" spans="1:5" x14ac:dyDescent="0.35">
      <c r="A572" s="1">
        <v>44036</v>
      </c>
      <c r="B572" s="2">
        <v>44036</v>
      </c>
      <c r="C572">
        <v>-0.5</v>
      </c>
      <c r="D572">
        <v>0.25</v>
      </c>
      <c r="E572" s="4">
        <v>0</v>
      </c>
    </row>
    <row r="573" spans="1:5" x14ac:dyDescent="0.35">
      <c r="A573" s="1">
        <v>44037</v>
      </c>
      <c r="B573" s="2">
        <v>44037</v>
      </c>
      <c r="C573">
        <v>-0.5</v>
      </c>
      <c r="D573">
        <v>0.25</v>
      </c>
      <c r="E573" s="4">
        <v>0</v>
      </c>
    </row>
    <row r="574" spans="1:5" x14ac:dyDescent="0.35">
      <c r="A574" s="1">
        <v>44038</v>
      </c>
      <c r="B574" s="2">
        <v>44038</v>
      </c>
      <c r="C574">
        <v>-0.5</v>
      </c>
      <c r="D574">
        <v>0.25</v>
      </c>
      <c r="E574" s="4">
        <v>0</v>
      </c>
    </row>
    <row r="575" spans="1:5" x14ac:dyDescent="0.35">
      <c r="A575" s="1">
        <v>44039</v>
      </c>
      <c r="B575" s="2">
        <v>44039</v>
      </c>
      <c r="C575">
        <v>-0.5</v>
      </c>
      <c r="D575">
        <v>0.25</v>
      </c>
      <c r="E575" s="4">
        <v>0</v>
      </c>
    </row>
    <row r="576" spans="1:5" x14ac:dyDescent="0.35">
      <c r="A576" s="1">
        <v>44040</v>
      </c>
      <c r="B576" s="2">
        <v>44040</v>
      </c>
      <c r="C576">
        <v>-0.5</v>
      </c>
      <c r="D576">
        <v>0.25</v>
      </c>
      <c r="E576" s="4">
        <v>0</v>
      </c>
    </row>
    <row r="577" spans="1:5" x14ac:dyDescent="0.35">
      <c r="A577" s="1">
        <v>44041</v>
      </c>
      <c r="B577" s="2">
        <v>44041</v>
      </c>
      <c r="C577">
        <v>-0.5</v>
      </c>
      <c r="D577">
        <v>0.25</v>
      </c>
      <c r="E577" s="4">
        <v>0</v>
      </c>
    </row>
    <row r="578" spans="1:5" x14ac:dyDescent="0.35">
      <c r="A578" s="1">
        <v>44042</v>
      </c>
      <c r="B578" s="2">
        <v>44042</v>
      </c>
      <c r="C578">
        <v>-0.5</v>
      </c>
      <c r="D578">
        <v>0.25</v>
      </c>
      <c r="E578" s="4">
        <v>0</v>
      </c>
    </row>
    <row r="579" spans="1:5" x14ac:dyDescent="0.35">
      <c r="A579" s="1">
        <v>44043</v>
      </c>
      <c r="B579" s="2">
        <v>44043</v>
      </c>
      <c r="C579">
        <v>-0.5</v>
      </c>
      <c r="D579">
        <v>0.25</v>
      </c>
      <c r="E579" s="4">
        <v>0</v>
      </c>
    </row>
    <row r="580" spans="1:5" x14ac:dyDescent="0.35">
      <c r="A580" s="1">
        <v>44044</v>
      </c>
      <c r="B580" s="2">
        <v>44044</v>
      </c>
      <c r="C580">
        <v>-0.5</v>
      </c>
      <c r="D580">
        <v>0.25</v>
      </c>
      <c r="E580" s="4">
        <v>0</v>
      </c>
    </row>
    <row r="581" spans="1:5" x14ac:dyDescent="0.35">
      <c r="A581" s="1">
        <v>44045</v>
      </c>
      <c r="B581" s="2">
        <v>44045</v>
      </c>
      <c r="C581">
        <v>-0.5</v>
      </c>
      <c r="D581">
        <v>0.25</v>
      </c>
      <c r="E581" s="4">
        <v>0</v>
      </c>
    </row>
    <row r="582" spans="1:5" x14ac:dyDescent="0.35">
      <c r="A582" s="1">
        <v>44046</v>
      </c>
      <c r="B582" s="2">
        <v>44046</v>
      </c>
      <c r="C582">
        <v>-0.5</v>
      </c>
      <c r="D582">
        <v>0.25</v>
      </c>
      <c r="E582" s="4">
        <v>0</v>
      </c>
    </row>
    <row r="583" spans="1:5" x14ac:dyDescent="0.35">
      <c r="A583" s="1">
        <v>44047</v>
      </c>
      <c r="B583" s="2">
        <v>44047</v>
      </c>
      <c r="C583">
        <v>-0.5</v>
      </c>
      <c r="D583">
        <v>0.25</v>
      </c>
      <c r="E583" s="4">
        <v>0</v>
      </c>
    </row>
    <row r="584" spans="1:5" x14ac:dyDescent="0.35">
      <c r="A584" s="1">
        <v>44048</v>
      </c>
      <c r="B584" s="2">
        <v>44048</v>
      </c>
      <c r="C584">
        <v>-0.5</v>
      </c>
      <c r="D584">
        <v>0.25</v>
      </c>
      <c r="E584" s="4">
        <v>0</v>
      </c>
    </row>
    <row r="585" spans="1:5" x14ac:dyDescent="0.35">
      <c r="A585" s="1">
        <v>44049</v>
      </c>
      <c r="B585" s="2">
        <v>44049</v>
      </c>
      <c r="C585">
        <v>-0.5</v>
      </c>
      <c r="D585">
        <v>0.25</v>
      </c>
      <c r="E585" s="4">
        <v>0</v>
      </c>
    </row>
    <row r="586" spans="1:5" x14ac:dyDescent="0.35">
      <c r="A586" s="1">
        <v>44050</v>
      </c>
      <c r="B586" s="2">
        <v>44050</v>
      </c>
      <c r="C586">
        <v>-0.5</v>
      </c>
      <c r="D586">
        <v>0.25</v>
      </c>
      <c r="E586" s="4">
        <v>0</v>
      </c>
    </row>
    <row r="587" spans="1:5" x14ac:dyDescent="0.35">
      <c r="A587" s="1">
        <v>44051</v>
      </c>
      <c r="B587" s="2">
        <v>44051</v>
      </c>
      <c r="C587">
        <v>-0.5</v>
      </c>
      <c r="D587">
        <v>0.25</v>
      </c>
      <c r="E587" s="4">
        <v>0</v>
      </c>
    </row>
    <row r="588" spans="1:5" x14ac:dyDescent="0.35">
      <c r="A588" s="1">
        <v>44052</v>
      </c>
      <c r="B588" s="2">
        <v>44052</v>
      </c>
      <c r="C588">
        <v>-0.5</v>
      </c>
      <c r="D588">
        <v>0.25</v>
      </c>
      <c r="E588" s="4">
        <v>0</v>
      </c>
    </row>
    <row r="589" spans="1:5" x14ac:dyDescent="0.35">
      <c r="A589" s="1">
        <v>44053</v>
      </c>
      <c r="B589" s="2">
        <v>44053</v>
      </c>
      <c r="C589">
        <v>-0.5</v>
      </c>
      <c r="D589">
        <v>0.25</v>
      </c>
      <c r="E589" s="4">
        <v>0</v>
      </c>
    </row>
    <row r="590" spans="1:5" x14ac:dyDescent="0.35">
      <c r="A590" s="1">
        <v>44054</v>
      </c>
      <c r="B590" s="2">
        <v>44054</v>
      </c>
      <c r="C590">
        <v>-0.5</v>
      </c>
      <c r="D590">
        <v>0.25</v>
      </c>
      <c r="E590" s="4">
        <v>0</v>
      </c>
    </row>
    <row r="591" spans="1:5" x14ac:dyDescent="0.35">
      <c r="A591" s="1">
        <v>44055</v>
      </c>
      <c r="B591" s="2">
        <v>44055</v>
      </c>
      <c r="C591">
        <v>-0.5</v>
      </c>
      <c r="D591">
        <v>0.25</v>
      </c>
      <c r="E591" s="4">
        <v>0</v>
      </c>
    </row>
    <row r="592" spans="1:5" x14ac:dyDescent="0.35">
      <c r="A592" s="1">
        <v>44056</v>
      </c>
      <c r="B592" s="2">
        <v>44056</v>
      </c>
      <c r="C592">
        <v>-0.5</v>
      </c>
      <c r="D592">
        <v>0.25</v>
      </c>
      <c r="E592" s="4">
        <v>0</v>
      </c>
    </row>
    <row r="593" spans="1:5" x14ac:dyDescent="0.35">
      <c r="A593" s="1">
        <v>44057</v>
      </c>
      <c r="B593" s="2">
        <v>44057</v>
      </c>
      <c r="C593">
        <v>-0.5</v>
      </c>
      <c r="D593">
        <v>0.25</v>
      </c>
      <c r="E593" s="4">
        <v>0</v>
      </c>
    </row>
    <row r="594" spans="1:5" x14ac:dyDescent="0.35">
      <c r="A594" s="1">
        <v>44058</v>
      </c>
      <c r="B594" s="2">
        <v>44058</v>
      </c>
      <c r="C594">
        <v>-0.5</v>
      </c>
      <c r="D594">
        <v>0.25</v>
      </c>
      <c r="E594" s="4">
        <v>0</v>
      </c>
    </row>
    <row r="595" spans="1:5" x14ac:dyDescent="0.35">
      <c r="A595" s="1">
        <v>44059</v>
      </c>
      <c r="B595" s="2">
        <v>44059</v>
      </c>
      <c r="C595">
        <v>-0.5</v>
      </c>
      <c r="D595">
        <v>0.25</v>
      </c>
      <c r="E595" s="4">
        <v>0</v>
      </c>
    </row>
    <row r="596" spans="1:5" x14ac:dyDescent="0.35">
      <c r="A596" s="1">
        <v>44060</v>
      </c>
      <c r="B596" s="2">
        <v>44060</v>
      </c>
      <c r="C596">
        <v>-0.5</v>
      </c>
      <c r="D596">
        <v>0.25</v>
      </c>
      <c r="E596" s="4">
        <v>0</v>
      </c>
    </row>
    <row r="597" spans="1:5" x14ac:dyDescent="0.35">
      <c r="A597" s="1">
        <v>44061</v>
      </c>
      <c r="B597" s="2">
        <v>44061</v>
      </c>
      <c r="C597">
        <v>-0.5</v>
      </c>
      <c r="D597">
        <v>0.25</v>
      </c>
      <c r="E597" s="4">
        <v>0</v>
      </c>
    </row>
    <row r="598" spans="1:5" x14ac:dyDescent="0.35">
      <c r="A598" s="1">
        <v>44062</v>
      </c>
      <c r="B598" s="2">
        <v>44062</v>
      </c>
      <c r="C598">
        <v>-0.5</v>
      </c>
      <c r="D598">
        <v>0.25</v>
      </c>
      <c r="E598" s="4">
        <v>0</v>
      </c>
    </row>
    <row r="599" spans="1:5" x14ac:dyDescent="0.35">
      <c r="A599" s="1">
        <v>44063</v>
      </c>
      <c r="B599" s="2">
        <v>44063</v>
      </c>
      <c r="C599">
        <v>-0.5</v>
      </c>
      <c r="D599">
        <v>0.25</v>
      </c>
      <c r="E599" s="4">
        <v>0</v>
      </c>
    </row>
    <row r="600" spans="1:5" x14ac:dyDescent="0.35">
      <c r="A600" s="1">
        <v>44064</v>
      </c>
      <c r="B600" s="2">
        <v>44064</v>
      </c>
      <c r="C600">
        <v>-0.5</v>
      </c>
      <c r="D600">
        <v>0.25</v>
      </c>
      <c r="E600" s="4">
        <v>0</v>
      </c>
    </row>
    <row r="601" spans="1:5" x14ac:dyDescent="0.35">
      <c r="A601" s="1">
        <v>44065</v>
      </c>
      <c r="B601" s="2">
        <v>44065</v>
      </c>
      <c r="C601">
        <v>-0.5</v>
      </c>
      <c r="D601">
        <v>0.25</v>
      </c>
      <c r="E601" s="4">
        <v>0</v>
      </c>
    </row>
    <row r="602" spans="1:5" x14ac:dyDescent="0.35">
      <c r="A602" s="1">
        <v>44066</v>
      </c>
      <c r="B602" s="2">
        <v>44066</v>
      </c>
      <c r="C602">
        <v>-0.5</v>
      </c>
      <c r="D602">
        <v>0.25</v>
      </c>
      <c r="E602" s="4">
        <v>0</v>
      </c>
    </row>
    <row r="603" spans="1:5" x14ac:dyDescent="0.35">
      <c r="A603" s="1">
        <v>44067</v>
      </c>
      <c r="B603" s="2">
        <v>44067</v>
      </c>
      <c r="C603">
        <v>-0.5</v>
      </c>
      <c r="D603">
        <v>0.25</v>
      </c>
      <c r="E603" s="4">
        <v>0</v>
      </c>
    </row>
    <row r="604" spans="1:5" x14ac:dyDescent="0.35">
      <c r="A604" s="1">
        <v>44068</v>
      </c>
      <c r="B604" s="2">
        <v>44068</v>
      </c>
      <c r="C604">
        <v>-0.5</v>
      </c>
      <c r="D604">
        <v>0.25</v>
      </c>
      <c r="E604" s="4">
        <v>0</v>
      </c>
    </row>
    <row r="605" spans="1:5" x14ac:dyDescent="0.35">
      <c r="A605" s="1">
        <v>44069</v>
      </c>
      <c r="B605" s="2">
        <v>44069</v>
      </c>
      <c r="C605">
        <v>-0.5</v>
      </c>
      <c r="D605">
        <v>0.25</v>
      </c>
      <c r="E605" s="4">
        <v>0</v>
      </c>
    </row>
    <row r="606" spans="1:5" x14ac:dyDescent="0.35">
      <c r="A606" s="1">
        <v>44070</v>
      </c>
      <c r="B606" s="2">
        <v>44070</v>
      </c>
      <c r="C606">
        <v>-0.5</v>
      </c>
      <c r="D606">
        <v>0.25</v>
      </c>
      <c r="E606" s="4">
        <v>0</v>
      </c>
    </row>
    <row r="607" spans="1:5" x14ac:dyDescent="0.35">
      <c r="A607" s="1">
        <v>44071</v>
      </c>
      <c r="B607" s="2">
        <v>44071</v>
      </c>
      <c r="C607">
        <v>-0.5</v>
      </c>
      <c r="D607">
        <v>0.25</v>
      </c>
      <c r="E607" s="4">
        <v>0</v>
      </c>
    </row>
    <row r="608" spans="1:5" x14ac:dyDescent="0.35">
      <c r="A608" s="1">
        <v>44072</v>
      </c>
      <c r="B608" s="2">
        <v>44072</v>
      </c>
      <c r="C608">
        <v>-0.5</v>
      </c>
      <c r="D608">
        <v>0.25</v>
      </c>
      <c r="E608" s="4">
        <v>0</v>
      </c>
    </row>
    <row r="609" spans="1:5" x14ac:dyDescent="0.35">
      <c r="A609" s="1">
        <v>44073</v>
      </c>
      <c r="B609" s="2">
        <v>44073</v>
      </c>
      <c r="C609">
        <v>-0.5</v>
      </c>
      <c r="D609">
        <v>0.25</v>
      </c>
      <c r="E609" s="4">
        <v>0</v>
      </c>
    </row>
    <row r="610" spans="1:5" x14ac:dyDescent="0.35">
      <c r="A610" s="1">
        <v>44074</v>
      </c>
      <c r="B610" s="2">
        <v>44074</v>
      </c>
      <c r="C610">
        <v>-0.5</v>
      </c>
      <c r="D610">
        <v>0.25</v>
      </c>
      <c r="E610" s="4">
        <v>0</v>
      </c>
    </row>
    <row r="611" spans="1:5" x14ac:dyDescent="0.35">
      <c r="A611" s="1">
        <v>44075</v>
      </c>
      <c r="B611" s="2">
        <v>44075</v>
      </c>
      <c r="C611">
        <v>-0.5</v>
      </c>
      <c r="D611">
        <v>0.25</v>
      </c>
      <c r="E611" s="4">
        <v>0</v>
      </c>
    </row>
    <row r="612" spans="1:5" x14ac:dyDescent="0.35">
      <c r="A612" s="1">
        <v>44076</v>
      </c>
      <c r="B612" s="2">
        <v>44076</v>
      </c>
      <c r="C612">
        <v>-0.5</v>
      </c>
      <c r="D612">
        <v>0.25</v>
      </c>
      <c r="E612" s="4">
        <v>0</v>
      </c>
    </row>
    <row r="613" spans="1:5" x14ac:dyDescent="0.35">
      <c r="A613" s="1">
        <v>44077</v>
      </c>
      <c r="B613" s="2">
        <v>44077</v>
      </c>
      <c r="C613">
        <v>-0.5</v>
      </c>
      <c r="D613">
        <v>0.25</v>
      </c>
      <c r="E613" s="4">
        <v>0</v>
      </c>
    </row>
    <row r="614" spans="1:5" x14ac:dyDescent="0.35">
      <c r="A614" s="1">
        <v>44078</v>
      </c>
      <c r="B614" s="2">
        <v>44078</v>
      </c>
      <c r="C614">
        <v>-0.5</v>
      </c>
      <c r="D614">
        <v>0.25</v>
      </c>
      <c r="E614" s="4">
        <v>0</v>
      </c>
    </row>
    <row r="615" spans="1:5" x14ac:dyDescent="0.35">
      <c r="A615" s="1">
        <v>44079</v>
      </c>
      <c r="B615" s="2">
        <v>44079</v>
      </c>
      <c r="C615">
        <v>-0.5</v>
      </c>
      <c r="D615">
        <v>0.25</v>
      </c>
      <c r="E615" s="4">
        <v>0</v>
      </c>
    </row>
    <row r="616" spans="1:5" x14ac:dyDescent="0.35">
      <c r="A616" s="1">
        <v>44080</v>
      </c>
      <c r="B616" s="2">
        <v>44080</v>
      </c>
      <c r="C616">
        <v>-0.5</v>
      </c>
      <c r="D616">
        <v>0.25</v>
      </c>
      <c r="E616" s="4">
        <v>0</v>
      </c>
    </row>
    <row r="617" spans="1:5" x14ac:dyDescent="0.35">
      <c r="A617" s="1">
        <v>44081</v>
      </c>
      <c r="B617" s="2">
        <v>44081</v>
      </c>
      <c r="C617">
        <v>-0.5</v>
      </c>
      <c r="D617">
        <v>0.25</v>
      </c>
      <c r="E617" s="4">
        <v>0</v>
      </c>
    </row>
    <row r="618" spans="1:5" x14ac:dyDescent="0.35">
      <c r="A618" s="1">
        <v>44082</v>
      </c>
      <c r="B618" s="2">
        <v>44082</v>
      </c>
      <c r="C618">
        <v>-0.5</v>
      </c>
      <c r="D618">
        <v>0.25</v>
      </c>
      <c r="E618" s="4">
        <v>0</v>
      </c>
    </row>
    <row r="619" spans="1:5" x14ac:dyDescent="0.35">
      <c r="A619" s="1">
        <v>44083</v>
      </c>
      <c r="B619" s="2">
        <v>44083</v>
      </c>
      <c r="C619">
        <v>-0.5</v>
      </c>
      <c r="D619">
        <v>0.25</v>
      </c>
      <c r="E619" s="4">
        <v>0</v>
      </c>
    </row>
    <row r="620" spans="1:5" x14ac:dyDescent="0.35">
      <c r="A620" s="1">
        <v>44084</v>
      </c>
      <c r="B620" s="2">
        <v>44084</v>
      </c>
      <c r="C620">
        <v>-0.5</v>
      </c>
      <c r="D620">
        <v>0.25</v>
      </c>
      <c r="E620" s="4">
        <v>0</v>
      </c>
    </row>
    <row r="621" spans="1:5" x14ac:dyDescent="0.35">
      <c r="A621" s="1">
        <v>44085</v>
      </c>
      <c r="B621" s="2">
        <v>44085</v>
      </c>
      <c r="C621">
        <v>-0.5</v>
      </c>
      <c r="D621">
        <v>0.25</v>
      </c>
      <c r="E621" s="4">
        <v>0</v>
      </c>
    </row>
    <row r="622" spans="1:5" x14ac:dyDescent="0.35">
      <c r="A622" s="1">
        <v>44086</v>
      </c>
      <c r="B622" s="2">
        <v>44086</v>
      </c>
      <c r="C622">
        <v>-0.5</v>
      </c>
      <c r="D622">
        <v>0.25</v>
      </c>
      <c r="E622" s="4">
        <v>0</v>
      </c>
    </row>
    <row r="623" spans="1:5" x14ac:dyDescent="0.35">
      <c r="A623" s="1">
        <v>44087</v>
      </c>
      <c r="B623" s="2">
        <v>44087</v>
      </c>
      <c r="C623">
        <v>-0.5</v>
      </c>
      <c r="D623">
        <v>0.25</v>
      </c>
      <c r="E623" s="4">
        <v>0</v>
      </c>
    </row>
    <row r="624" spans="1:5" x14ac:dyDescent="0.35">
      <c r="A624" s="1">
        <v>44088</v>
      </c>
      <c r="B624" s="2">
        <v>44088</v>
      </c>
      <c r="C624">
        <v>-0.5</v>
      </c>
      <c r="D624">
        <v>0.25</v>
      </c>
      <c r="E624" s="4">
        <v>0</v>
      </c>
    </row>
    <row r="625" spans="1:5" x14ac:dyDescent="0.35">
      <c r="A625" s="1">
        <v>44089</v>
      </c>
      <c r="B625" s="2">
        <v>44089</v>
      </c>
      <c r="C625">
        <v>-0.5</v>
      </c>
      <c r="D625">
        <v>0.25</v>
      </c>
      <c r="E625" s="4">
        <v>0</v>
      </c>
    </row>
    <row r="626" spans="1:5" x14ac:dyDescent="0.35">
      <c r="A626" s="1">
        <v>44090</v>
      </c>
      <c r="B626" s="2">
        <v>44090</v>
      </c>
      <c r="C626">
        <v>-0.5</v>
      </c>
      <c r="D626">
        <v>0.25</v>
      </c>
      <c r="E626" s="4">
        <v>0</v>
      </c>
    </row>
    <row r="627" spans="1:5" x14ac:dyDescent="0.35">
      <c r="A627" s="1">
        <v>44091</v>
      </c>
      <c r="B627" s="2">
        <v>44091</v>
      </c>
      <c r="C627">
        <v>-0.5</v>
      </c>
      <c r="D627">
        <v>0.25</v>
      </c>
      <c r="E627" s="4">
        <v>0</v>
      </c>
    </row>
    <row r="628" spans="1:5" x14ac:dyDescent="0.35">
      <c r="A628" s="1">
        <v>44092</v>
      </c>
      <c r="B628" s="2">
        <v>44092</v>
      </c>
      <c r="C628">
        <v>-0.5</v>
      </c>
      <c r="D628">
        <v>0.25</v>
      </c>
      <c r="E628" s="4">
        <v>0</v>
      </c>
    </row>
    <row r="629" spans="1:5" x14ac:dyDescent="0.35">
      <c r="A629" s="1">
        <v>44093</v>
      </c>
      <c r="B629" s="2">
        <v>44093</v>
      </c>
      <c r="C629">
        <v>-0.5</v>
      </c>
      <c r="D629">
        <v>0.25</v>
      </c>
      <c r="E629" s="4">
        <v>0</v>
      </c>
    </row>
    <row r="630" spans="1:5" x14ac:dyDescent="0.35">
      <c r="A630" s="1">
        <v>44094</v>
      </c>
      <c r="B630" s="2">
        <v>44094</v>
      </c>
      <c r="C630">
        <v>-0.5</v>
      </c>
      <c r="D630">
        <v>0.25</v>
      </c>
      <c r="E630" s="4">
        <v>0</v>
      </c>
    </row>
    <row r="631" spans="1:5" x14ac:dyDescent="0.35">
      <c r="A631" s="1">
        <v>44095</v>
      </c>
      <c r="B631" s="2">
        <v>44095</v>
      </c>
      <c r="C631">
        <v>-0.5</v>
      </c>
      <c r="D631">
        <v>0.25</v>
      </c>
      <c r="E631" s="4">
        <v>0</v>
      </c>
    </row>
    <row r="632" spans="1:5" x14ac:dyDescent="0.35">
      <c r="A632" s="1">
        <v>44096</v>
      </c>
      <c r="B632" s="2">
        <v>44096</v>
      </c>
      <c r="C632">
        <v>-0.5</v>
      </c>
      <c r="D632">
        <v>0.25</v>
      </c>
      <c r="E632" s="4">
        <v>0</v>
      </c>
    </row>
    <row r="633" spans="1:5" x14ac:dyDescent="0.35">
      <c r="A633" s="1">
        <v>44097</v>
      </c>
      <c r="B633" s="2">
        <v>44097</v>
      </c>
      <c r="C633">
        <v>-0.5</v>
      </c>
      <c r="D633">
        <v>0.25</v>
      </c>
      <c r="E633" s="4">
        <v>0</v>
      </c>
    </row>
    <row r="634" spans="1:5" x14ac:dyDescent="0.35">
      <c r="A634" s="1">
        <v>44098</v>
      </c>
      <c r="B634" s="2">
        <v>44098</v>
      </c>
      <c r="C634">
        <v>-0.5</v>
      </c>
      <c r="D634">
        <v>0.25</v>
      </c>
      <c r="E634" s="4">
        <v>0</v>
      </c>
    </row>
    <row r="635" spans="1:5" x14ac:dyDescent="0.35">
      <c r="A635" s="1">
        <v>44099</v>
      </c>
      <c r="B635" s="2">
        <v>44099</v>
      </c>
      <c r="C635">
        <v>-0.5</v>
      </c>
      <c r="D635">
        <v>0.25</v>
      </c>
      <c r="E635" s="4">
        <v>0</v>
      </c>
    </row>
    <row r="636" spans="1:5" x14ac:dyDescent="0.35">
      <c r="A636" s="1">
        <v>44100</v>
      </c>
      <c r="B636" s="2">
        <v>44100</v>
      </c>
      <c r="C636">
        <v>-0.5</v>
      </c>
      <c r="D636">
        <v>0.25</v>
      </c>
      <c r="E636" s="4">
        <v>0</v>
      </c>
    </row>
    <row r="637" spans="1:5" x14ac:dyDescent="0.35">
      <c r="A637" s="1">
        <v>44101</v>
      </c>
      <c r="B637" s="2">
        <v>44101</v>
      </c>
      <c r="C637">
        <v>-0.5</v>
      </c>
      <c r="D637">
        <v>0.25</v>
      </c>
      <c r="E637" s="4">
        <v>0</v>
      </c>
    </row>
    <row r="638" spans="1:5" x14ac:dyDescent="0.35">
      <c r="A638" s="1">
        <v>44102</v>
      </c>
      <c r="B638" s="2">
        <v>44102</v>
      </c>
      <c r="C638">
        <v>-0.5</v>
      </c>
      <c r="D638">
        <v>0.25</v>
      </c>
      <c r="E638" s="4">
        <v>0</v>
      </c>
    </row>
    <row r="639" spans="1:5" x14ac:dyDescent="0.35">
      <c r="A639" s="1">
        <v>44103</v>
      </c>
      <c r="B639" s="2">
        <v>44103</v>
      </c>
      <c r="C639">
        <v>-0.5</v>
      </c>
      <c r="D639">
        <v>0.25</v>
      </c>
      <c r="E639" s="4">
        <v>0</v>
      </c>
    </row>
    <row r="640" spans="1:5" x14ac:dyDescent="0.35">
      <c r="A640" s="1">
        <v>44104</v>
      </c>
      <c r="B640" s="2">
        <v>44104</v>
      </c>
      <c r="C640">
        <v>-0.5</v>
      </c>
      <c r="D640">
        <v>0.25</v>
      </c>
      <c r="E640" s="4">
        <v>0</v>
      </c>
    </row>
    <row r="641" spans="1:5" x14ac:dyDescent="0.35">
      <c r="A641" s="1">
        <v>44105</v>
      </c>
      <c r="B641" s="2">
        <v>44105</v>
      </c>
      <c r="C641">
        <v>-0.5</v>
      </c>
      <c r="D641">
        <v>0.25</v>
      </c>
      <c r="E641" s="4">
        <v>0</v>
      </c>
    </row>
    <row r="642" spans="1:5" x14ac:dyDescent="0.35">
      <c r="A642" s="1">
        <v>44106</v>
      </c>
      <c r="B642" s="2">
        <v>44106</v>
      </c>
      <c r="C642">
        <v>-0.5</v>
      </c>
      <c r="D642">
        <v>0.25</v>
      </c>
      <c r="E642" s="4">
        <v>0</v>
      </c>
    </row>
    <row r="643" spans="1:5" x14ac:dyDescent="0.35">
      <c r="A643" s="1">
        <v>44107</v>
      </c>
      <c r="B643" s="2">
        <v>44107</v>
      </c>
      <c r="C643">
        <v>-0.5</v>
      </c>
      <c r="D643">
        <v>0.25</v>
      </c>
      <c r="E643" s="4">
        <v>0</v>
      </c>
    </row>
    <row r="644" spans="1:5" x14ac:dyDescent="0.35">
      <c r="A644" s="1">
        <v>44108</v>
      </c>
      <c r="B644" s="2">
        <v>44108</v>
      </c>
      <c r="C644">
        <v>-0.5</v>
      </c>
      <c r="D644">
        <v>0.25</v>
      </c>
      <c r="E644" s="4">
        <v>0</v>
      </c>
    </row>
    <row r="645" spans="1:5" x14ac:dyDescent="0.35">
      <c r="A645" s="1">
        <v>44109</v>
      </c>
      <c r="B645" s="2">
        <v>44109</v>
      </c>
      <c r="C645">
        <v>-0.5</v>
      </c>
      <c r="D645">
        <v>0.25</v>
      </c>
      <c r="E645" s="4">
        <v>0</v>
      </c>
    </row>
    <row r="646" spans="1:5" x14ac:dyDescent="0.35">
      <c r="A646" s="1">
        <v>44110</v>
      </c>
      <c r="B646" s="2">
        <v>44110</v>
      </c>
      <c r="C646">
        <v>-0.5</v>
      </c>
      <c r="D646">
        <v>0.25</v>
      </c>
      <c r="E646" s="4">
        <v>0</v>
      </c>
    </row>
    <row r="647" spans="1:5" x14ac:dyDescent="0.35">
      <c r="A647" s="1">
        <v>44111</v>
      </c>
      <c r="B647" s="2">
        <v>44111</v>
      </c>
      <c r="C647">
        <v>-0.5</v>
      </c>
      <c r="D647">
        <v>0.25</v>
      </c>
      <c r="E647" s="4">
        <v>0</v>
      </c>
    </row>
    <row r="648" spans="1:5" x14ac:dyDescent="0.35">
      <c r="A648" s="1">
        <v>44112</v>
      </c>
      <c r="B648" s="2">
        <v>44112</v>
      </c>
      <c r="C648">
        <v>-0.5</v>
      </c>
      <c r="D648">
        <v>0.25</v>
      </c>
      <c r="E648" s="4">
        <v>0</v>
      </c>
    </row>
    <row r="649" spans="1:5" x14ac:dyDescent="0.35">
      <c r="A649" s="1">
        <v>44113</v>
      </c>
      <c r="B649" s="2">
        <v>44113</v>
      </c>
      <c r="C649">
        <v>-0.5</v>
      </c>
      <c r="D649">
        <v>0.25</v>
      </c>
      <c r="E649" s="4">
        <v>0</v>
      </c>
    </row>
    <row r="650" spans="1:5" x14ac:dyDescent="0.35">
      <c r="A650" s="1">
        <v>44114</v>
      </c>
      <c r="B650" s="2">
        <v>44114</v>
      </c>
      <c r="C650">
        <v>-0.5</v>
      </c>
      <c r="D650">
        <v>0.25</v>
      </c>
      <c r="E650" s="4">
        <v>0</v>
      </c>
    </row>
    <row r="651" spans="1:5" x14ac:dyDescent="0.35">
      <c r="A651" s="1">
        <v>44115</v>
      </c>
      <c r="B651" s="2">
        <v>44115</v>
      </c>
      <c r="C651">
        <v>-0.5</v>
      </c>
      <c r="D651">
        <v>0.25</v>
      </c>
      <c r="E651" s="4">
        <v>0</v>
      </c>
    </row>
    <row r="652" spans="1:5" x14ac:dyDescent="0.35">
      <c r="A652" s="1">
        <v>44116</v>
      </c>
      <c r="B652" s="2">
        <v>44116</v>
      </c>
      <c r="C652">
        <v>-0.5</v>
      </c>
      <c r="D652">
        <v>0.25</v>
      </c>
      <c r="E652" s="4">
        <v>0</v>
      </c>
    </row>
    <row r="653" spans="1:5" x14ac:dyDescent="0.35">
      <c r="A653" s="1">
        <v>44117</v>
      </c>
      <c r="B653" s="2">
        <v>44117</v>
      </c>
      <c r="C653">
        <v>-0.5</v>
      </c>
      <c r="D653">
        <v>0.25</v>
      </c>
      <c r="E653" s="4">
        <v>0</v>
      </c>
    </row>
    <row r="654" spans="1:5" x14ac:dyDescent="0.35">
      <c r="A654" s="1">
        <v>44118</v>
      </c>
      <c r="B654" s="2">
        <v>44118</v>
      </c>
      <c r="C654">
        <v>-0.5</v>
      </c>
      <c r="D654">
        <v>0.25</v>
      </c>
      <c r="E654" s="4">
        <v>0</v>
      </c>
    </row>
    <row r="655" spans="1:5" x14ac:dyDescent="0.35">
      <c r="A655" s="1">
        <v>44119</v>
      </c>
      <c r="B655" s="2">
        <v>44119</v>
      </c>
      <c r="C655">
        <v>-0.5</v>
      </c>
      <c r="D655">
        <v>0.25</v>
      </c>
      <c r="E655" s="4">
        <v>0</v>
      </c>
    </row>
    <row r="656" spans="1:5" x14ac:dyDescent="0.35">
      <c r="A656" s="1">
        <v>44120</v>
      </c>
      <c r="B656" s="2">
        <v>44120</v>
      </c>
      <c r="C656">
        <v>-0.5</v>
      </c>
      <c r="D656">
        <v>0.25</v>
      </c>
      <c r="E656" s="4">
        <v>0</v>
      </c>
    </row>
    <row r="657" spans="1:5" x14ac:dyDescent="0.35">
      <c r="A657" s="1">
        <v>44121</v>
      </c>
      <c r="B657" s="2">
        <v>44121</v>
      </c>
      <c r="C657">
        <v>-0.5</v>
      </c>
      <c r="D657">
        <v>0.25</v>
      </c>
      <c r="E657" s="4">
        <v>0</v>
      </c>
    </row>
    <row r="658" spans="1:5" x14ac:dyDescent="0.35">
      <c r="A658" s="1">
        <v>44122</v>
      </c>
      <c r="B658" s="2">
        <v>44122</v>
      </c>
      <c r="C658">
        <v>-0.5</v>
      </c>
      <c r="D658">
        <v>0.25</v>
      </c>
      <c r="E658" s="4">
        <v>0</v>
      </c>
    </row>
    <row r="659" spans="1:5" x14ac:dyDescent="0.35">
      <c r="A659" s="1">
        <v>44123</v>
      </c>
      <c r="B659" s="2">
        <v>44123</v>
      </c>
      <c r="C659">
        <v>-0.5</v>
      </c>
      <c r="D659">
        <v>0.25</v>
      </c>
      <c r="E659" s="4">
        <v>0</v>
      </c>
    </row>
    <row r="660" spans="1:5" x14ac:dyDescent="0.35">
      <c r="A660" s="1">
        <v>44124</v>
      </c>
      <c r="B660" s="2">
        <v>44124</v>
      </c>
      <c r="C660">
        <v>-0.5</v>
      </c>
      <c r="D660">
        <v>0.25</v>
      </c>
      <c r="E660" s="4">
        <v>0</v>
      </c>
    </row>
    <row r="661" spans="1:5" x14ac:dyDescent="0.35">
      <c r="A661" s="1">
        <v>44125</v>
      </c>
      <c r="B661" s="2">
        <v>44125</v>
      </c>
      <c r="C661">
        <v>-0.5</v>
      </c>
      <c r="D661">
        <v>0.25</v>
      </c>
      <c r="E661" s="4">
        <v>0</v>
      </c>
    </row>
    <row r="662" spans="1:5" x14ac:dyDescent="0.35">
      <c r="A662" s="1">
        <v>44126</v>
      </c>
      <c r="B662" s="2">
        <v>44126</v>
      </c>
      <c r="C662">
        <v>-0.5</v>
      </c>
      <c r="D662">
        <v>0.25</v>
      </c>
      <c r="E662" s="4">
        <v>0</v>
      </c>
    </row>
    <row r="663" spans="1:5" x14ac:dyDescent="0.35">
      <c r="A663" s="1">
        <v>44127</v>
      </c>
      <c r="B663" s="2">
        <v>44127</v>
      </c>
      <c r="C663">
        <v>-0.5</v>
      </c>
      <c r="D663">
        <v>0.25</v>
      </c>
      <c r="E663" s="4">
        <v>0</v>
      </c>
    </row>
    <row r="664" spans="1:5" x14ac:dyDescent="0.35">
      <c r="A664" s="1">
        <v>44128</v>
      </c>
      <c r="B664" s="2">
        <v>44128</v>
      </c>
      <c r="C664">
        <v>-0.5</v>
      </c>
      <c r="D664">
        <v>0.25</v>
      </c>
      <c r="E664" s="4">
        <v>0</v>
      </c>
    </row>
    <row r="665" spans="1:5" x14ac:dyDescent="0.35">
      <c r="A665" s="1">
        <v>44129</v>
      </c>
      <c r="B665" s="2">
        <v>44129</v>
      </c>
      <c r="C665">
        <v>-0.5</v>
      </c>
      <c r="D665">
        <v>0.25</v>
      </c>
      <c r="E665" s="4">
        <v>0</v>
      </c>
    </row>
    <row r="666" spans="1:5" x14ac:dyDescent="0.35">
      <c r="A666" s="1">
        <v>44130</v>
      </c>
      <c r="B666" s="2">
        <v>44130</v>
      </c>
      <c r="C666">
        <v>-0.5</v>
      </c>
      <c r="D666">
        <v>0.25</v>
      </c>
      <c r="E666" s="4">
        <v>0</v>
      </c>
    </row>
    <row r="667" spans="1:5" x14ac:dyDescent="0.35">
      <c r="A667" s="1">
        <v>44131</v>
      </c>
      <c r="B667" s="2">
        <v>44131</v>
      </c>
      <c r="C667">
        <v>-0.5</v>
      </c>
      <c r="D667">
        <v>0.25</v>
      </c>
      <c r="E667" s="4">
        <v>0</v>
      </c>
    </row>
    <row r="668" spans="1:5" x14ac:dyDescent="0.35">
      <c r="A668" s="1">
        <v>44132</v>
      </c>
      <c r="B668" s="2">
        <v>44132</v>
      </c>
      <c r="C668">
        <v>-0.5</v>
      </c>
      <c r="D668">
        <v>0.25</v>
      </c>
      <c r="E668" s="4">
        <v>0</v>
      </c>
    </row>
    <row r="669" spans="1:5" x14ac:dyDescent="0.35">
      <c r="A669" s="1">
        <v>44133</v>
      </c>
      <c r="B669" s="2">
        <v>44133</v>
      </c>
      <c r="C669">
        <v>-0.5</v>
      </c>
      <c r="D669">
        <v>0.25</v>
      </c>
      <c r="E669" s="4">
        <v>0</v>
      </c>
    </row>
    <row r="670" spans="1:5" x14ac:dyDescent="0.35">
      <c r="A670" s="1">
        <v>44134</v>
      </c>
      <c r="B670" s="2">
        <v>44134</v>
      </c>
      <c r="C670">
        <v>-0.5</v>
      </c>
      <c r="D670">
        <v>0.25</v>
      </c>
      <c r="E670" s="4">
        <v>0</v>
      </c>
    </row>
    <row r="671" spans="1:5" x14ac:dyDescent="0.35">
      <c r="A671" s="1">
        <v>44135</v>
      </c>
      <c r="B671" s="2">
        <v>44135</v>
      </c>
      <c r="C671">
        <v>-0.5</v>
      </c>
      <c r="D671">
        <v>0.25</v>
      </c>
      <c r="E671" s="4">
        <v>0</v>
      </c>
    </row>
    <row r="672" spans="1:5" x14ac:dyDescent="0.35">
      <c r="A672" s="1">
        <v>44136</v>
      </c>
      <c r="B672" s="2">
        <v>44136</v>
      </c>
      <c r="C672">
        <v>-0.5</v>
      </c>
      <c r="D672">
        <v>0.25</v>
      </c>
      <c r="E672" s="4">
        <v>0</v>
      </c>
    </row>
    <row r="673" spans="1:5" x14ac:dyDescent="0.35">
      <c r="A673" s="1">
        <v>44137</v>
      </c>
      <c r="B673" s="2">
        <v>44137</v>
      </c>
      <c r="C673">
        <v>-0.5</v>
      </c>
      <c r="D673">
        <v>0.25</v>
      </c>
      <c r="E673" s="4">
        <v>0</v>
      </c>
    </row>
    <row r="674" spans="1:5" x14ac:dyDescent="0.35">
      <c r="A674" s="1">
        <v>44138</v>
      </c>
      <c r="B674" s="2">
        <v>44138</v>
      </c>
      <c r="C674">
        <v>-0.5</v>
      </c>
      <c r="D674">
        <v>0.25</v>
      </c>
      <c r="E674" s="4">
        <v>0</v>
      </c>
    </row>
    <row r="675" spans="1:5" x14ac:dyDescent="0.35">
      <c r="A675" s="1">
        <v>44139</v>
      </c>
      <c r="B675" s="2">
        <v>44139</v>
      </c>
      <c r="C675">
        <v>-0.5</v>
      </c>
      <c r="D675">
        <v>0.25</v>
      </c>
      <c r="E675" s="4">
        <v>0</v>
      </c>
    </row>
    <row r="676" spans="1:5" x14ac:dyDescent="0.35">
      <c r="A676" s="1">
        <v>44140</v>
      </c>
      <c r="B676" s="2">
        <v>44140</v>
      </c>
      <c r="C676">
        <v>-0.5</v>
      </c>
      <c r="D676">
        <v>0.25</v>
      </c>
      <c r="E676" s="4">
        <v>0</v>
      </c>
    </row>
    <row r="677" spans="1:5" x14ac:dyDescent="0.35">
      <c r="A677" s="1">
        <v>44141</v>
      </c>
      <c r="B677" s="2">
        <v>44141</v>
      </c>
      <c r="C677">
        <v>-0.5</v>
      </c>
      <c r="D677">
        <v>0.25</v>
      </c>
      <c r="E677" s="4">
        <v>0</v>
      </c>
    </row>
    <row r="678" spans="1:5" x14ac:dyDescent="0.35">
      <c r="A678" s="1">
        <v>44142</v>
      </c>
      <c r="B678" s="2">
        <v>44142</v>
      </c>
      <c r="C678">
        <v>-0.5</v>
      </c>
      <c r="D678">
        <v>0.25</v>
      </c>
      <c r="E678" s="4">
        <v>0</v>
      </c>
    </row>
    <row r="679" spans="1:5" x14ac:dyDescent="0.35">
      <c r="A679" s="1">
        <v>44143</v>
      </c>
      <c r="B679" s="2">
        <v>44143</v>
      </c>
      <c r="C679">
        <v>-0.5</v>
      </c>
      <c r="D679">
        <v>0.25</v>
      </c>
      <c r="E679" s="4">
        <v>0</v>
      </c>
    </row>
    <row r="680" spans="1:5" x14ac:dyDescent="0.35">
      <c r="A680" s="1">
        <v>44144</v>
      </c>
      <c r="B680" s="2">
        <v>44144</v>
      </c>
      <c r="C680">
        <v>-0.5</v>
      </c>
      <c r="D680">
        <v>0.25</v>
      </c>
      <c r="E680" s="4">
        <v>0</v>
      </c>
    </row>
    <row r="681" spans="1:5" x14ac:dyDescent="0.35">
      <c r="A681" s="1">
        <v>44145</v>
      </c>
      <c r="B681" s="2">
        <v>44145</v>
      </c>
      <c r="C681">
        <v>-0.5</v>
      </c>
      <c r="D681">
        <v>0.25</v>
      </c>
      <c r="E681" s="4">
        <v>0</v>
      </c>
    </row>
    <row r="682" spans="1:5" x14ac:dyDescent="0.35">
      <c r="A682" s="1">
        <v>44146</v>
      </c>
      <c r="B682" s="2">
        <v>44146</v>
      </c>
      <c r="C682">
        <v>-0.5</v>
      </c>
      <c r="D682">
        <v>0.25</v>
      </c>
      <c r="E682" s="4">
        <v>0</v>
      </c>
    </row>
    <row r="683" spans="1:5" x14ac:dyDescent="0.35">
      <c r="A683" s="1">
        <v>44147</v>
      </c>
      <c r="B683" s="2">
        <v>44147</v>
      </c>
      <c r="C683">
        <v>-0.5</v>
      </c>
      <c r="D683">
        <v>0.25</v>
      </c>
      <c r="E683" s="4">
        <v>0</v>
      </c>
    </row>
    <row r="684" spans="1:5" x14ac:dyDescent="0.35">
      <c r="A684" s="1">
        <v>44148</v>
      </c>
      <c r="B684" s="2">
        <v>44148</v>
      </c>
      <c r="C684">
        <v>-0.5</v>
      </c>
      <c r="D684">
        <v>0.25</v>
      </c>
      <c r="E684" s="4">
        <v>0</v>
      </c>
    </row>
    <row r="685" spans="1:5" x14ac:dyDescent="0.35">
      <c r="A685" s="1">
        <v>44149</v>
      </c>
      <c r="B685" s="2">
        <v>44149</v>
      </c>
      <c r="C685">
        <v>-0.5</v>
      </c>
      <c r="D685">
        <v>0.25</v>
      </c>
      <c r="E685" s="4">
        <v>0</v>
      </c>
    </row>
    <row r="686" spans="1:5" x14ac:dyDescent="0.35">
      <c r="A686" s="1">
        <v>44150</v>
      </c>
      <c r="B686" s="2">
        <v>44150</v>
      </c>
      <c r="C686">
        <v>-0.5</v>
      </c>
      <c r="D686">
        <v>0.25</v>
      </c>
      <c r="E686" s="4">
        <v>0</v>
      </c>
    </row>
    <row r="687" spans="1:5" x14ac:dyDescent="0.35">
      <c r="A687" s="1">
        <v>44151</v>
      </c>
      <c r="B687" s="2">
        <v>44151</v>
      </c>
      <c r="C687">
        <v>-0.5</v>
      </c>
      <c r="D687">
        <v>0.25</v>
      </c>
      <c r="E687" s="4">
        <v>0</v>
      </c>
    </row>
    <row r="688" spans="1:5" x14ac:dyDescent="0.35">
      <c r="A688" s="1">
        <v>44152</v>
      </c>
      <c r="B688" s="2">
        <v>44152</v>
      </c>
      <c r="C688">
        <v>-0.5</v>
      </c>
      <c r="D688">
        <v>0.25</v>
      </c>
      <c r="E688" s="4">
        <v>0</v>
      </c>
    </row>
    <row r="689" spans="1:5" x14ac:dyDescent="0.35">
      <c r="A689" s="1">
        <v>44153</v>
      </c>
      <c r="B689" s="2">
        <v>44153</v>
      </c>
      <c r="C689">
        <v>-0.5</v>
      </c>
      <c r="D689">
        <v>0.25</v>
      </c>
      <c r="E689" s="4">
        <v>0</v>
      </c>
    </row>
    <row r="690" spans="1:5" x14ac:dyDescent="0.35">
      <c r="A690" s="1">
        <v>44154</v>
      </c>
      <c r="B690" s="2">
        <v>44154</v>
      </c>
      <c r="C690">
        <v>-0.5</v>
      </c>
      <c r="D690">
        <v>0.25</v>
      </c>
      <c r="E690" s="4">
        <v>0</v>
      </c>
    </row>
    <row r="691" spans="1:5" x14ac:dyDescent="0.35">
      <c r="A691" s="1">
        <v>44155</v>
      </c>
      <c r="B691" s="2">
        <v>44155</v>
      </c>
      <c r="C691">
        <v>-0.5</v>
      </c>
      <c r="D691">
        <v>0.25</v>
      </c>
      <c r="E691" s="4">
        <v>0</v>
      </c>
    </row>
    <row r="692" spans="1:5" x14ac:dyDescent="0.35">
      <c r="A692" s="1">
        <v>44156</v>
      </c>
      <c r="B692" s="2">
        <v>44156</v>
      </c>
      <c r="C692">
        <v>-0.5</v>
      </c>
      <c r="D692">
        <v>0.25</v>
      </c>
      <c r="E692" s="4">
        <v>0</v>
      </c>
    </row>
    <row r="693" spans="1:5" x14ac:dyDescent="0.35">
      <c r="A693" s="1">
        <v>44157</v>
      </c>
      <c r="B693" s="2">
        <v>44157</v>
      </c>
      <c r="C693">
        <v>-0.5</v>
      </c>
      <c r="D693">
        <v>0.25</v>
      </c>
      <c r="E693" s="4">
        <v>0</v>
      </c>
    </row>
    <row r="694" spans="1:5" x14ac:dyDescent="0.35">
      <c r="A694" s="1">
        <v>44158</v>
      </c>
      <c r="B694" s="2">
        <v>44158</v>
      </c>
      <c r="C694">
        <v>-0.5</v>
      </c>
      <c r="D694">
        <v>0.25</v>
      </c>
      <c r="E694" s="4">
        <v>0</v>
      </c>
    </row>
    <row r="695" spans="1:5" x14ac:dyDescent="0.35">
      <c r="A695" s="1">
        <v>44159</v>
      </c>
      <c r="B695" s="2">
        <v>44159</v>
      </c>
      <c r="C695">
        <v>-0.5</v>
      </c>
      <c r="D695">
        <v>0.25</v>
      </c>
      <c r="E695" s="4">
        <v>0</v>
      </c>
    </row>
    <row r="696" spans="1:5" x14ac:dyDescent="0.35">
      <c r="A696" s="1">
        <v>44160</v>
      </c>
      <c r="B696" s="2">
        <v>44160</v>
      </c>
      <c r="C696">
        <v>-0.5</v>
      </c>
      <c r="D696">
        <v>0.25</v>
      </c>
      <c r="E696" s="4">
        <v>0</v>
      </c>
    </row>
    <row r="697" spans="1:5" x14ac:dyDescent="0.35">
      <c r="A697" s="1">
        <v>44161</v>
      </c>
      <c r="B697" s="2">
        <v>44161</v>
      </c>
      <c r="C697">
        <v>-0.5</v>
      </c>
      <c r="D697">
        <v>0.25</v>
      </c>
      <c r="E697" s="4">
        <v>0</v>
      </c>
    </row>
    <row r="698" spans="1:5" x14ac:dyDescent="0.35">
      <c r="A698" s="1">
        <v>44162</v>
      </c>
      <c r="B698" s="2">
        <v>44162</v>
      </c>
      <c r="C698">
        <v>-0.5</v>
      </c>
      <c r="D698">
        <v>0.25</v>
      </c>
      <c r="E698" s="4">
        <v>0</v>
      </c>
    </row>
    <row r="699" spans="1:5" x14ac:dyDescent="0.35">
      <c r="A699" s="1">
        <v>44163</v>
      </c>
      <c r="B699" s="2">
        <v>44163</v>
      </c>
      <c r="C699">
        <v>-0.5</v>
      </c>
      <c r="D699">
        <v>0.25</v>
      </c>
      <c r="E699" s="4">
        <v>0</v>
      </c>
    </row>
    <row r="700" spans="1:5" x14ac:dyDescent="0.35">
      <c r="A700" s="1">
        <v>44164</v>
      </c>
      <c r="B700" s="2">
        <v>44164</v>
      </c>
      <c r="C700">
        <v>-0.5</v>
      </c>
      <c r="D700">
        <v>0.25</v>
      </c>
      <c r="E700" s="4">
        <v>0</v>
      </c>
    </row>
    <row r="701" spans="1:5" x14ac:dyDescent="0.35">
      <c r="A701" s="1">
        <v>44165</v>
      </c>
      <c r="B701" s="2">
        <v>44165</v>
      </c>
      <c r="C701">
        <v>-0.5</v>
      </c>
      <c r="D701">
        <v>0.25</v>
      </c>
      <c r="E701" s="4">
        <v>0</v>
      </c>
    </row>
    <row r="702" spans="1:5" x14ac:dyDescent="0.35">
      <c r="A702" s="1">
        <v>44166</v>
      </c>
      <c r="B702" s="2">
        <v>44166</v>
      </c>
      <c r="C702">
        <v>-0.5</v>
      </c>
      <c r="D702">
        <v>0.25</v>
      </c>
      <c r="E702" s="4">
        <v>0</v>
      </c>
    </row>
    <row r="703" spans="1:5" x14ac:dyDescent="0.35">
      <c r="A703" s="1">
        <v>44167</v>
      </c>
      <c r="B703" s="2">
        <v>44167</v>
      </c>
      <c r="C703">
        <v>-0.5</v>
      </c>
      <c r="D703">
        <v>0.25</v>
      </c>
      <c r="E703" s="4">
        <v>0</v>
      </c>
    </row>
    <row r="704" spans="1:5" x14ac:dyDescent="0.35">
      <c r="A704" s="1">
        <v>44168</v>
      </c>
      <c r="B704" s="2">
        <v>44168</v>
      </c>
      <c r="C704">
        <v>-0.5</v>
      </c>
      <c r="D704">
        <v>0.25</v>
      </c>
      <c r="E704" s="4">
        <v>0</v>
      </c>
    </row>
    <row r="705" spans="1:5" x14ac:dyDescent="0.35">
      <c r="A705" s="1">
        <v>44169</v>
      </c>
      <c r="B705" s="2">
        <v>44169</v>
      </c>
      <c r="C705">
        <v>-0.5</v>
      </c>
      <c r="D705">
        <v>0.25</v>
      </c>
      <c r="E705" s="4">
        <v>0</v>
      </c>
    </row>
    <row r="706" spans="1:5" x14ac:dyDescent="0.35">
      <c r="A706" s="1">
        <v>44170</v>
      </c>
      <c r="B706" s="2">
        <v>44170</v>
      </c>
      <c r="C706">
        <v>-0.5</v>
      </c>
      <c r="D706">
        <v>0.25</v>
      </c>
      <c r="E706" s="4">
        <v>0</v>
      </c>
    </row>
    <row r="707" spans="1:5" x14ac:dyDescent="0.35">
      <c r="A707" s="1">
        <v>44171</v>
      </c>
      <c r="B707" s="2">
        <v>44171</v>
      </c>
      <c r="C707">
        <v>-0.5</v>
      </c>
      <c r="D707">
        <v>0.25</v>
      </c>
      <c r="E707" s="4">
        <v>0</v>
      </c>
    </row>
    <row r="708" spans="1:5" x14ac:dyDescent="0.35">
      <c r="A708" s="1">
        <v>44172</v>
      </c>
      <c r="B708" s="2">
        <v>44172</v>
      </c>
      <c r="C708">
        <v>-0.5</v>
      </c>
      <c r="D708">
        <v>0.25</v>
      </c>
      <c r="E708" s="4">
        <v>0</v>
      </c>
    </row>
    <row r="709" spans="1:5" x14ac:dyDescent="0.35">
      <c r="A709" s="1">
        <v>44173</v>
      </c>
      <c r="B709" s="2">
        <v>44173</v>
      </c>
      <c r="C709">
        <v>-0.5</v>
      </c>
      <c r="D709">
        <v>0.25</v>
      </c>
      <c r="E709" s="4">
        <v>0</v>
      </c>
    </row>
    <row r="710" spans="1:5" x14ac:dyDescent="0.35">
      <c r="A710" s="1">
        <v>44174</v>
      </c>
      <c r="B710" s="2">
        <v>44174</v>
      </c>
      <c r="C710">
        <v>-0.5</v>
      </c>
      <c r="D710">
        <v>0.25</v>
      </c>
      <c r="E710" s="4">
        <v>0</v>
      </c>
    </row>
    <row r="711" spans="1:5" x14ac:dyDescent="0.35">
      <c r="A711" s="1">
        <v>44175</v>
      </c>
      <c r="B711" s="2">
        <v>44175</v>
      </c>
      <c r="C711">
        <v>-0.5</v>
      </c>
      <c r="D711">
        <v>0.25</v>
      </c>
      <c r="E711" s="4">
        <v>0</v>
      </c>
    </row>
    <row r="712" spans="1:5" x14ac:dyDescent="0.35">
      <c r="A712" s="1">
        <v>44176</v>
      </c>
      <c r="B712" s="2">
        <v>44176</v>
      </c>
      <c r="C712">
        <v>-0.5</v>
      </c>
      <c r="D712">
        <v>0.25</v>
      </c>
      <c r="E712" s="4">
        <v>0</v>
      </c>
    </row>
    <row r="713" spans="1:5" x14ac:dyDescent="0.35">
      <c r="A713" s="1">
        <v>44177</v>
      </c>
      <c r="B713" s="2">
        <v>44177</v>
      </c>
      <c r="C713">
        <v>-0.5</v>
      </c>
      <c r="D713">
        <v>0.25</v>
      </c>
      <c r="E713" s="4">
        <v>0</v>
      </c>
    </row>
    <row r="714" spans="1:5" x14ac:dyDescent="0.35">
      <c r="A714" s="1">
        <v>44178</v>
      </c>
      <c r="B714" s="2">
        <v>44178</v>
      </c>
      <c r="C714">
        <v>-0.5</v>
      </c>
      <c r="D714">
        <v>0.25</v>
      </c>
      <c r="E714" s="4">
        <v>0</v>
      </c>
    </row>
    <row r="715" spans="1:5" x14ac:dyDescent="0.35">
      <c r="A715" s="1">
        <v>44179</v>
      </c>
      <c r="B715" s="2">
        <v>44179</v>
      </c>
      <c r="C715">
        <v>-0.5</v>
      </c>
      <c r="D715">
        <v>0.25</v>
      </c>
      <c r="E715" s="4">
        <v>0</v>
      </c>
    </row>
    <row r="716" spans="1:5" x14ac:dyDescent="0.35">
      <c r="A716" s="1">
        <v>44180</v>
      </c>
      <c r="B716" s="2">
        <v>44180</v>
      </c>
      <c r="C716">
        <v>-0.5</v>
      </c>
      <c r="D716">
        <v>0.25</v>
      </c>
      <c r="E716" s="4">
        <v>0</v>
      </c>
    </row>
    <row r="717" spans="1:5" x14ac:dyDescent="0.35">
      <c r="A717" s="1">
        <v>44181</v>
      </c>
      <c r="B717" s="2">
        <v>44181</v>
      </c>
      <c r="C717">
        <v>-0.5</v>
      </c>
      <c r="D717">
        <v>0.25</v>
      </c>
      <c r="E717" s="4">
        <v>0</v>
      </c>
    </row>
    <row r="718" spans="1:5" x14ac:dyDescent="0.35">
      <c r="A718" s="1">
        <v>44182</v>
      </c>
      <c r="B718" s="2">
        <v>44182</v>
      </c>
      <c r="C718">
        <v>-0.5</v>
      </c>
      <c r="D718">
        <v>0.25</v>
      </c>
      <c r="E718" s="4">
        <v>0</v>
      </c>
    </row>
    <row r="719" spans="1:5" x14ac:dyDescent="0.35">
      <c r="A719" s="1">
        <v>44183</v>
      </c>
      <c r="B719" s="2">
        <v>44183</v>
      </c>
      <c r="C719">
        <v>-0.5</v>
      </c>
      <c r="D719">
        <v>0.25</v>
      </c>
      <c r="E719" s="4">
        <v>0</v>
      </c>
    </row>
    <row r="720" spans="1:5" x14ac:dyDescent="0.35">
      <c r="A720" s="1">
        <v>44184</v>
      </c>
      <c r="B720" s="2">
        <v>44184</v>
      </c>
      <c r="C720">
        <v>-0.5</v>
      </c>
      <c r="D720">
        <v>0.25</v>
      </c>
      <c r="E720" s="4">
        <v>0</v>
      </c>
    </row>
    <row r="721" spans="1:5" x14ac:dyDescent="0.35">
      <c r="A721" s="1">
        <v>44185</v>
      </c>
      <c r="B721" s="2">
        <v>44185</v>
      </c>
      <c r="C721">
        <v>-0.5</v>
      </c>
      <c r="D721">
        <v>0.25</v>
      </c>
      <c r="E721" s="4">
        <v>0</v>
      </c>
    </row>
    <row r="722" spans="1:5" x14ac:dyDescent="0.35">
      <c r="A722" s="1">
        <v>44186</v>
      </c>
      <c r="B722" s="2">
        <v>44186</v>
      </c>
      <c r="C722">
        <v>-0.5</v>
      </c>
      <c r="D722">
        <v>0.25</v>
      </c>
      <c r="E722" s="4">
        <v>0</v>
      </c>
    </row>
    <row r="723" spans="1:5" x14ac:dyDescent="0.35">
      <c r="A723" s="1">
        <v>44187</v>
      </c>
      <c r="B723" s="2">
        <v>44187</v>
      </c>
      <c r="C723">
        <v>-0.5</v>
      </c>
      <c r="D723">
        <v>0.25</v>
      </c>
      <c r="E723" s="4">
        <v>0</v>
      </c>
    </row>
    <row r="724" spans="1:5" x14ac:dyDescent="0.35">
      <c r="A724" s="1">
        <v>44188</v>
      </c>
      <c r="B724" s="2">
        <v>44188</v>
      </c>
      <c r="C724">
        <v>-0.5</v>
      </c>
      <c r="D724">
        <v>0.25</v>
      </c>
      <c r="E724" s="4">
        <v>0</v>
      </c>
    </row>
    <row r="725" spans="1:5" x14ac:dyDescent="0.35">
      <c r="A725" s="1">
        <v>44189</v>
      </c>
      <c r="B725" s="2">
        <v>44189</v>
      </c>
      <c r="C725">
        <v>-0.5</v>
      </c>
      <c r="D725">
        <v>0.25</v>
      </c>
      <c r="E725" s="4">
        <v>0</v>
      </c>
    </row>
    <row r="726" spans="1:5" x14ac:dyDescent="0.35">
      <c r="A726" s="1">
        <v>44190</v>
      </c>
      <c r="B726" s="2">
        <v>44190</v>
      </c>
      <c r="C726">
        <v>-0.5</v>
      </c>
      <c r="D726">
        <v>0.25</v>
      </c>
      <c r="E726" s="4">
        <v>0</v>
      </c>
    </row>
    <row r="727" spans="1:5" x14ac:dyDescent="0.35">
      <c r="A727" s="1">
        <v>44191</v>
      </c>
      <c r="B727" s="2">
        <v>44191</v>
      </c>
      <c r="C727">
        <v>-0.5</v>
      </c>
      <c r="D727">
        <v>0.25</v>
      </c>
      <c r="E727" s="4">
        <v>0</v>
      </c>
    </row>
    <row r="728" spans="1:5" x14ac:dyDescent="0.35">
      <c r="A728" s="1">
        <v>44192</v>
      </c>
      <c r="B728" s="2">
        <v>44192</v>
      </c>
      <c r="C728">
        <v>-0.5</v>
      </c>
      <c r="D728">
        <v>0.25</v>
      </c>
      <c r="E728" s="4">
        <v>0</v>
      </c>
    </row>
    <row r="729" spans="1:5" x14ac:dyDescent="0.35">
      <c r="A729" s="1">
        <v>44193</v>
      </c>
      <c r="B729" s="2">
        <v>44193</v>
      </c>
      <c r="C729">
        <v>-0.5</v>
      </c>
      <c r="D729">
        <v>0.25</v>
      </c>
      <c r="E729" s="4">
        <v>0</v>
      </c>
    </row>
    <row r="730" spans="1:5" x14ac:dyDescent="0.35">
      <c r="A730" s="1">
        <v>44194</v>
      </c>
      <c r="B730" s="2">
        <v>44194</v>
      </c>
      <c r="C730">
        <v>-0.5</v>
      </c>
      <c r="D730">
        <v>0.25</v>
      </c>
      <c r="E730" s="4">
        <v>0</v>
      </c>
    </row>
    <row r="731" spans="1:5" x14ac:dyDescent="0.35">
      <c r="A731" s="1">
        <v>44195</v>
      </c>
      <c r="B731" s="2">
        <v>44195</v>
      </c>
      <c r="C731">
        <v>-0.5</v>
      </c>
      <c r="D731">
        <v>0.25</v>
      </c>
      <c r="E731" s="4">
        <v>0</v>
      </c>
    </row>
    <row r="732" spans="1:5" x14ac:dyDescent="0.35">
      <c r="A732" s="1">
        <v>44196</v>
      </c>
      <c r="B732" s="2">
        <v>44196</v>
      </c>
      <c r="C732">
        <v>-0.5</v>
      </c>
      <c r="D732">
        <v>0.25</v>
      </c>
      <c r="E732" s="4">
        <v>0</v>
      </c>
    </row>
    <row r="733" spans="1:5" x14ac:dyDescent="0.35">
      <c r="A733" s="1">
        <v>44197</v>
      </c>
      <c r="B733" s="2">
        <v>44197</v>
      </c>
      <c r="C733">
        <v>-0.5</v>
      </c>
      <c r="D733">
        <v>0.25</v>
      </c>
      <c r="E733" s="4">
        <v>0</v>
      </c>
    </row>
    <row r="734" spans="1:5" x14ac:dyDescent="0.35">
      <c r="A734" s="1">
        <v>44198</v>
      </c>
      <c r="B734" s="2">
        <v>44198</v>
      </c>
      <c r="C734">
        <v>-0.5</v>
      </c>
      <c r="D734">
        <v>0.25</v>
      </c>
      <c r="E734" s="4">
        <v>0</v>
      </c>
    </row>
    <row r="735" spans="1:5" x14ac:dyDescent="0.35">
      <c r="A735" s="1">
        <v>44199</v>
      </c>
      <c r="B735" s="2">
        <v>44199</v>
      </c>
      <c r="C735">
        <v>-0.5</v>
      </c>
      <c r="D735">
        <v>0.25</v>
      </c>
      <c r="E735" s="4">
        <v>0</v>
      </c>
    </row>
    <row r="736" spans="1:5" x14ac:dyDescent="0.35">
      <c r="A736" s="1">
        <v>44200</v>
      </c>
      <c r="B736" s="2">
        <v>44200</v>
      </c>
      <c r="C736">
        <v>-0.5</v>
      </c>
      <c r="D736">
        <v>0.25</v>
      </c>
      <c r="E736" s="4">
        <v>0</v>
      </c>
    </row>
    <row r="737" spans="1:5" x14ac:dyDescent="0.35">
      <c r="A737" s="1">
        <v>44201</v>
      </c>
      <c r="B737" s="2">
        <v>44201</v>
      </c>
      <c r="C737">
        <v>-0.5</v>
      </c>
      <c r="D737">
        <v>0.25</v>
      </c>
      <c r="E737" s="4">
        <v>0</v>
      </c>
    </row>
    <row r="738" spans="1:5" x14ac:dyDescent="0.35">
      <c r="A738" s="1">
        <v>44202</v>
      </c>
      <c r="B738" s="2">
        <v>44202</v>
      </c>
      <c r="C738">
        <v>-0.5</v>
      </c>
      <c r="D738">
        <v>0.25</v>
      </c>
      <c r="E738" s="4">
        <v>0</v>
      </c>
    </row>
    <row r="739" spans="1:5" x14ac:dyDescent="0.35">
      <c r="A739" s="1">
        <v>44203</v>
      </c>
      <c r="B739" s="2">
        <v>44203</v>
      </c>
      <c r="C739">
        <v>-0.5</v>
      </c>
      <c r="D739">
        <v>0.25</v>
      </c>
      <c r="E739" s="4">
        <v>0</v>
      </c>
    </row>
    <row r="740" spans="1:5" x14ac:dyDescent="0.35">
      <c r="A740" s="1">
        <v>44204</v>
      </c>
      <c r="B740" s="2">
        <v>44204</v>
      </c>
      <c r="C740">
        <v>-0.5</v>
      </c>
      <c r="D740">
        <v>0.25</v>
      </c>
      <c r="E740" s="4">
        <v>0</v>
      </c>
    </row>
    <row r="741" spans="1:5" x14ac:dyDescent="0.35">
      <c r="A741" s="1">
        <v>44205</v>
      </c>
      <c r="B741" s="2">
        <v>44205</v>
      </c>
      <c r="C741">
        <v>-0.5</v>
      </c>
      <c r="D741">
        <v>0.25</v>
      </c>
      <c r="E741" s="4">
        <v>0</v>
      </c>
    </row>
    <row r="742" spans="1:5" x14ac:dyDescent="0.35">
      <c r="A742" s="1">
        <v>44206</v>
      </c>
      <c r="B742" s="2">
        <v>44206</v>
      </c>
      <c r="C742">
        <v>-0.5</v>
      </c>
      <c r="D742">
        <v>0.25</v>
      </c>
      <c r="E742" s="4">
        <v>0</v>
      </c>
    </row>
    <row r="743" spans="1:5" x14ac:dyDescent="0.35">
      <c r="A743" s="1">
        <v>44207</v>
      </c>
      <c r="B743" s="2">
        <v>44207</v>
      </c>
      <c r="C743">
        <v>-0.5</v>
      </c>
      <c r="D743">
        <v>0.25</v>
      </c>
      <c r="E743" s="4">
        <v>0</v>
      </c>
    </row>
    <row r="744" spans="1:5" x14ac:dyDescent="0.35">
      <c r="A744" s="1">
        <v>44208</v>
      </c>
      <c r="B744" s="2">
        <v>44208</v>
      </c>
      <c r="C744">
        <v>-0.5</v>
      </c>
      <c r="D744">
        <v>0.25</v>
      </c>
      <c r="E744" s="4">
        <v>0</v>
      </c>
    </row>
    <row r="745" spans="1:5" x14ac:dyDescent="0.35">
      <c r="A745" s="1">
        <v>44209</v>
      </c>
      <c r="B745" s="2">
        <v>44209</v>
      </c>
      <c r="C745">
        <v>-0.5</v>
      </c>
      <c r="D745">
        <v>0.25</v>
      </c>
      <c r="E745" s="4">
        <v>0</v>
      </c>
    </row>
    <row r="746" spans="1:5" x14ac:dyDescent="0.35">
      <c r="A746" s="1">
        <v>44210</v>
      </c>
      <c r="B746" s="2">
        <v>44210</v>
      </c>
      <c r="C746">
        <v>-0.5</v>
      </c>
      <c r="D746">
        <v>0.25</v>
      </c>
      <c r="E746" s="4">
        <v>0</v>
      </c>
    </row>
    <row r="747" spans="1:5" x14ac:dyDescent="0.35">
      <c r="A747" s="1">
        <v>44211</v>
      </c>
      <c r="B747" s="2">
        <v>44211</v>
      </c>
      <c r="C747">
        <v>-0.5</v>
      </c>
      <c r="D747">
        <v>0.25</v>
      </c>
      <c r="E747" s="4">
        <v>0</v>
      </c>
    </row>
    <row r="748" spans="1:5" x14ac:dyDescent="0.35">
      <c r="A748" s="1">
        <v>44212</v>
      </c>
      <c r="B748" s="2">
        <v>44212</v>
      </c>
      <c r="C748">
        <v>-0.5</v>
      </c>
      <c r="D748">
        <v>0.25</v>
      </c>
      <c r="E748" s="4">
        <v>0</v>
      </c>
    </row>
    <row r="749" spans="1:5" x14ac:dyDescent="0.35">
      <c r="A749" s="1">
        <v>44213</v>
      </c>
      <c r="B749" s="2">
        <v>44213</v>
      </c>
      <c r="C749">
        <v>-0.5</v>
      </c>
      <c r="D749">
        <v>0.25</v>
      </c>
      <c r="E749" s="4">
        <v>0</v>
      </c>
    </row>
    <row r="750" spans="1:5" x14ac:dyDescent="0.35">
      <c r="A750" s="1">
        <v>44214</v>
      </c>
      <c r="B750" s="2">
        <v>44214</v>
      </c>
      <c r="C750">
        <v>-0.5</v>
      </c>
      <c r="D750">
        <v>0.25</v>
      </c>
      <c r="E750" s="4">
        <v>0</v>
      </c>
    </row>
    <row r="751" spans="1:5" x14ac:dyDescent="0.35">
      <c r="A751" s="1">
        <v>44215</v>
      </c>
      <c r="B751" s="2">
        <v>44215</v>
      </c>
      <c r="C751">
        <v>-0.5</v>
      </c>
      <c r="D751">
        <v>0.25</v>
      </c>
      <c r="E751" s="4">
        <v>0</v>
      </c>
    </row>
    <row r="752" spans="1:5" x14ac:dyDescent="0.35">
      <c r="A752" s="1">
        <v>44216</v>
      </c>
      <c r="B752" s="2">
        <v>44216</v>
      </c>
      <c r="C752">
        <v>-0.5</v>
      </c>
      <c r="D752">
        <v>0.25</v>
      </c>
      <c r="E752" s="4">
        <v>0</v>
      </c>
    </row>
    <row r="753" spans="1:5" x14ac:dyDescent="0.35">
      <c r="A753" s="1">
        <v>44217</v>
      </c>
      <c r="B753" s="2">
        <v>44217</v>
      </c>
      <c r="C753">
        <v>-0.5</v>
      </c>
      <c r="D753">
        <v>0.25</v>
      </c>
      <c r="E753" s="4">
        <v>0</v>
      </c>
    </row>
    <row r="754" spans="1:5" x14ac:dyDescent="0.35">
      <c r="A754" s="1">
        <v>44218</v>
      </c>
      <c r="B754" s="2">
        <v>44218</v>
      </c>
      <c r="C754">
        <v>-0.5</v>
      </c>
      <c r="D754">
        <v>0.25</v>
      </c>
      <c r="E754" s="4">
        <v>0</v>
      </c>
    </row>
    <row r="755" spans="1:5" x14ac:dyDescent="0.35">
      <c r="A755" s="1">
        <v>44219</v>
      </c>
      <c r="B755" s="2">
        <v>44219</v>
      </c>
      <c r="C755">
        <v>-0.5</v>
      </c>
      <c r="D755">
        <v>0.25</v>
      </c>
      <c r="E755" s="4">
        <v>0</v>
      </c>
    </row>
    <row r="756" spans="1:5" x14ac:dyDescent="0.35">
      <c r="A756" s="1">
        <v>44220</v>
      </c>
      <c r="B756" s="2">
        <v>44220</v>
      </c>
      <c r="C756">
        <v>-0.5</v>
      </c>
      <c r="D756">
        <v>0.25</v>
      </c>
      <c r="E756" s="4">
        <v>0</v>
      </c>
    </row>
    <row r="757" spans="1:5" x14ac:dyDescent="0.35">
      <c r="A757" s="1">
        <v>44221</v>
      </c>
      <c r="B757" s="2">
        <v>44221</v>
      </c>
      <c r="C757">
        <v>-0.5</v>
      </c>
      <c r="D757">
        <v>0.25</v>
      </c>
      <c r="E757" s="4">
        <v>0</v>
      </c>
    </row>
    <row r="758" spans="1:5" x14ac:dyDescent="0.35">
      <c r="A758" s="1">
        <v>44222</v>
      </c>
      <c r="B758" s="2">
        <v>44222</v>
      </c>
      <c r="C758">
        <v>-0.5</v>
      </c>
      <c r="D758">
        <v>0.25</v>
      </c>
      <c r="E758" s="4">
        <v>0</v>
      </c>
    </row>
    <row r="759" spans="1:5" x14ac:dyDescent="0.35">
      <c r="A759" s="1">
        <v>44223</v>
      </c>
      <c r="B759" s="2">
        <v>44223</v>
      </c>
      <c r="C759">
        <v>-0.5</v>
      </c>
      <c r="D759">
        <v>0.25</v>
      </c>
      <c r="E759" s="4">
        <v>0</v>
      </c>
    </row>
    <row r="760" spans="1:5" x14ac:dyDescent="0.35">
      <c r="A760" s="1">
        <v>44224</v>
      </c>
      <c r="B760" s="2">
        <v>44224</v>
      </c>
      <c r="C760">
        <v>-0.5</v>
      </c>
      <c r="D760">
        <v>0.25</v>
      </c>
      <c r="E760" s="4">
        <v>0</v>
      </c>
    </row>
    <row r="761" spans="1:5" x14ac:dyDescent="0.35">
      <c r="A761" s="1">
        <v>44225</v>
      </c>
      <c r="B761" s="2">
        <v>44225</v>
      </c>
      <c r="C761">
        <v>-0.5</v>
      </c>
      <c r="D761">
        <v>0.25</v>
      </c>
      <c r="E761" s="4">
        <v>0</v>
      </c>
    </row>
    <row r="762" spans="1:5" x14ac:dyDescent="0.35">
      <c r="A762" s="1">
        <v>44226</v>
      </c>
      <c r="B762" s="2">
        <v>44226</v>
      </c>
      <c r="C762">
        <v>-0.5</v>
      </c>
      <c r="D762">
        <v>0.25</v>
      </c>
      <c r="E762" s="4">
        <v>0</v>
      </c>
    </row>
    <row r="763" spans="1:5" x14ac:dyDescent="0.35">
      <c r="A763" s="1">
        <v>44227</v>
      </c>
      <c r="B763" s="2">
        <v>44227</v>
      </c>
      <c r="C763">
        <v>-0.5</v>
      </c>
      <c r="D763">
        <v>0.25</v>
      </c>
      <c r="E763" s="4">
        <v>0</v>
      </c>
    </row>
    <row r="764" spans="1:5" x14ac:dyDescent="0.35">
      <c r="A764" s="1">
        <v>44228</v>
      </c>
      <c r="B764" s="2">
        <v>44228</v>
      </c>
      <c r="C764">
        <v>-0.5</v>
      </c>
      <c r="D764">
        <v>0.25</v>
      </c>
      <c r="E764" s="4">
        <v>0</v>
      </c>
    </row>
    <row r="765" spans="1:5" x14ac:dyDescent="0.35">
      <c r="A765" s="1">
        <v>44229</v>
      </c>
      <c r="B765" s="2">
        <v>44229</v>
      </c>
      <c r="C765">
        <v>-0.5</v>
      </c>
      <c r="D765">
        <v>0.25</v>
      </c>
      <c r="E765" s="4">
        <v>0</v>
      </c>
    </row>
    <row r="766" spans="1:5" x14ac:dyDescent="0.35">
      <c r="A766" s="1">
        <v>44230</v>
      </c>
      <c r="B766" s="2">
        <v>44230</v>
      </c>
      <c r="C766">
        <v>-0.5</v>
      </c>
      <c r="D766">
        <v>0.25</v>
      </c>
      <c r="E766" s="4">
        <v>0</v>
      </c>
    </row>
    <row r="767" spans="1:5" x14ac:dyDescent="0.35">
      <c r="A767" s="1">
        <v>44231</v>
      </c>
      <c r="B767" s="2">
        <v>44231</v>
      </c>
      <c r="C767">
        <v>-0.5</v>
      </c>
      <c r="D767">
        <v>0.25</v>
      </c>
      <c r="E767" s="4">
        <v>0</v>
      </c>
    </row>
    <row r="768" spans="1:5" x14ac:dyDescent="0.35">
      <c r="A768" s="1">
        <v>44232</v>
      </c>
      <c r="B768" s="2">
        <v>44232</v>
      </c>
      <c r="C768">
        <v>-0.5</v>
      </c>
      <c r="D768">
        <v>0.25</v>
      </c>
      <c r="E768" s="4">
        <v>0</v>
      </c>
    </row>
    <row r="769" spans="1:5" x14ac:dyDescent="0.35">
      <c r="A769" s="1">
        <v>44233</v>
      </c>
      <c r="B769" s="2">
        <v>44233</v>
      </c>
      <c r="C769">
        <v>-0.5</v>
      </c>
      <c r="D769">
        <v>0.25</v>
      </c>
      <c r="E769" s="4">
        <v>0</v>
      </c>
    </row>
    <row r="770" spans="1:5" x14ac:dyDescent="0.35">
      <c r="A770" s="1">
        <v>44234</v>
      </c>
      <c r="B770" s="2">
        <v>44234</v>
      </c>
      <c r="C770">
        <v>-0.5</v>
      </c>
      <c r="D770">
        <v>0.25</v>
      </c>
      <c r="E770" s="4">
        <v>0</v>
      </c>
    </row>
    <row r="771" spans="1:5" x14ac:dyDescent="0.35">
      <c r="A771" s="1">
        <v>44235</v>
      </c>
      <c r="B771" s="2">
        <v>44235</v>
      </c>
      <c r="C771">
        <v>-0.5</v>
      </c>
      <c r="D771">
        <v>0.25</v>
      </c>
      <c r="E771" s="4">
        <v>0</v>
      </c>
    </row>
    <row r="772" spans="1:5" x14ac:dyDescent="0.35">
      <c r="A772" s="1">
        <v>44236</v>
      </c>
      <c r="B772" s="2">
        <v>44236</v>
      </c>
      <c r="C772">
        <v>-0.5</v>
      </c>
      <c r="D772">
        <v>0.25</v>
      </c>
      <c r="E772" s="4">
        <v>0</v>
      </c>
    </row>
    <row r="773" spans="1:5" x14ac:dyDescent="0.35">
      <c r="A773" s="1">
        <v>44237</v>
      </c>
      <c r="B773" s="2">
        <v>44237</v>
      </c>
      <c r="C773">
        <v>-0.5</v>
      </c>
      <c r="D773">
        <v>0.25</v>
      </c>
      <c r="E773" s="4">
        <v>0</v>
      </c>
    </row>
    <row r="774" spans="1:5" x14ac:dyDescent="0.35">
      <c r="A774" s="1">
        <v>44238</v>
      </c>
      <c r="B774" s="2">
        <v>44238</v>
      </c>
      <c r="C774">
        <v>-0.5</v>
      </c>
      <c r="D774">
        <v>0.25</v>
      </c>
      <c r="E774" s="4">
        <v>0</v>
      </c>
    </row>
    <row r="775" spans="1:5" x14ac:dyDescent="0.35">
      <c r="A775" s="1">
        <v>44239</v>
      </c>
      <c r="B775" s="2">
        <v>44239</v>
      </c>
      <c r="C775">
        <v>-0.5</v>
      </c>
      <c r="D775">
        <v>0.25</v>
      </c>
      <c r="E775" s="4">
        <v>0</v>
      </c>
    </row>
    <row r="776" spans="1:5" x14ac:dyDescent="0.35">
      <c r="A776" s="1">
        <v>44240</v>
      </c>
      <c r="B776" s="2">
        <v>44240</v>
      </c>
      <c r="C776">
        <v>-0.5</v>
      </c>
      <c r="D776">
        <v>0.25</v>
      </c>
      <c r="E776" s="4">
        <v>0</v>
      </c>
    </row>
    <row r="777" spans="1:5" x14ac:dyDescent="0.35">
      <c r="A777" s="1">
        <v>44241</v>
      </c>
      <c r="B777" s="2">
        <v>44241</v>
      </c>
      <c r="C777">
        <v>-0.5</v>
      </c>
      <c r="D777">
        <v>0.25</v>
      </c>
      <c r="E777" s="4">
        <v>0</v>
      </c>
    </row>
    <row r="778" spans="1:5" x14ac:dyDescent="0.35">
      <c r="A778" s="1">
        <v>44242</v>
      </c>
      <c r="B778" s="2">
        <v>44242</v>
      </c>
      <c r="C778">
        <v>-0.5</v>
      </c>
      <c r="D778">
        <v>0.25</v>
      </c>
      <c r="E778" s="4">
        <v>0</v>
      </c>
    </row>
    <row r="779" spans="1:5" x14ac:dyDescent="0.35">
      <c r="A779" s="1">
        <v>44243</v>
      </c>
      <c r="B779" s="2">
        <v>44243</v>
      </c>
      <c r="C779">
        <v>-0.5</v>
      </c>
      <c r="D779">
        <v>0.25</v>
      </c>
      <c r="E779" s="4">
        <v>0</v>
      </c>
    </row>
    <row r="780" spans="1:5" x14ac:dyDescent="0.35">
      <c r="A780" s="1">
        <v>44244</v>
      </c>
      <c r="B780" s="2">
        <v>44244</v>
      </c>
      <c r="C780">
        <v>-0.5</v>
      </c>
      <c r="D780">
        <v>0.25</v>
      </c>
      <c r="E780" s="4">
        <v>0</v>
      </c>
    </row>
    <row r="781" spans="1:5" x14ac:dyDescent="0.35">
      <c r="A781" s="1">
        <v>44245</v>
      </c>
      <c r="B781" s="2">
        <v>44245</v>
      </c>
      <c r="C781">
        <v>-0.5</v>
      </c>
      <c r="D781">
        <v>0.25</v>
      </c>
      <c r="E781" s="4">
        <v>0</v>
      </c>
    </row>
    <row r="782" spans="1:5" x14ac:dyDescent="0.35">
      <c r="A782" s="1">
        <v>44246</v>
      </c>
      <c r="B782" s="2">
        <v>44246</v>
      </c>
      <c r="C782">
        <v>-0.5</v>
      </c>
      <c r="D782">
        <v>0.25</v>
      </c>
      <c r="E782" s="4">
        <v>0</v>
      </c>
    </row>
    <row r="783" spans="1:5" x14ac:dyDescent="0.35">
      <c r="A783" s="1">
        <v>44247</v>
      </c>
      <c r="B783" s="2">
        <v>44247</v>
      </c>
      <c r="C783">
        <v>-0.5</v>
      </c>
      <c r="D783">
        <v>0.25</v>
      </c>
      <c r="E783" s="4">
        <v>0</v>
      </c>
    </row>
    <row r="784" spans="1:5" x14ac:dyDescent="0.35">
      <c r="A784" s="1">
        <v>44248</v>
      </c>
      <c r="B784" s="2">
        <v>44248</v>
      </c>
      <c r="C784">
        <v>-0.5</v>
      </c>
      <c r="D784">
        <v>0.25</v>
      </c>
      <c r="E784" s="4">
        <v>0</v>
      </c>
    </row>
    <row r="785" spans="1:5" x14ac:dyDescent="0.35">
      <c r="A785" s="1">
        <v>44249</v>
      </c>
      <c r="B785" s="2">
        <v>44249</v>
      </c>
      <c r="C785">
        <v>-0.5</v>
      </c>
      <c r="D785">
        <v>0.25</v>
      </c>
      <c r="E785" s="4">
        <v>0</v>
      </c>
    </row>
    <row r="786" spans="1:5" x14ac:dyDescent="0.35">
      <c r="A786" s="1">
        <v>44250</v>
      </c>
      <c r="B786" s="2">
        <v>44250</v>
      </c>
      <c r="C786">
        <v>-0.5</v>
      </c>
      <c r="D786">
        <v>0.25</v>
      </c>
      <c r="E786" s="4">
        <v>0</v>
      </c>
    </row>
    <row r="787" spans="1:5" x14ac:dyDescent="0.35">
      <c r="A787" s="1">
        <v>44251</v>
      </c>
      <c r="B787" s="2">
        <v>44251</v>
      </c>
      <c r="C787">
        <v>-0.5</v>
      </c>
      <c r="D787">
        <v>0.25</v>
      </c>
      <c r="E787" s="4">
        <v>0</v>
      </c>
    </row>
    <row r="788" spans="1:5" x14ac:dyDescent="0.35">
      <c r="A788" s="1">
        <v>44252</v>
      </c>
      <c r="B788" s="2">
        <v>44252</v>
      </c>
      <c r="C788">
        <v>-0.5</v>
      </c>
      <c r="D788">
        <v>0.25</v>
      </c>
      <c r="E788" s="4">
        <v>0</v>
      </c>
    </row>
    <row r="789" spans="1:5" x14ac:dyDescent="0.35">
      <c r="A789" s="1">
        <v>44253</v>
      </c>
      <c r="B789" s="2">
        <v>44253</v>
      </c>
      <c r="C789">
        <v>-0.5</v>
      </c>
      <c r="D789">
        <v>0.25</v>
      </c>
      <c r="E789" s="4">
        <v>0</v>
      </c>
    </row>
    <row r="790" spans="1:5" x14ac:dyDescent="0.35">
      <c r="A790" s="1">
        <v>44254</v>
      </c>
      <c r="B790" s="2">
        <v>44254</v>
      </c>
      <c r="C790">
        <v>-0.5</v>
      </c>
      <c r="D790">
        <v>0.25</v>
      </c>
      <c r="E790" s="4">
        <v>0</v>
      </c>
    </row>
    <row r="791" spans="1:5" x14ac:dyDescent="0.35">
      <c r="A791" s="1">
        <v>44255</v>
      </c>
      <c r="B791" s="2">
        <v>44255</v>
      </c>
      <c r="C791">
        <v>-0.5</v>
      </c>
      <c r="D791">
        <v>0.25</v>
      </c>
      <c r="E791" s="4">
        <v>0</v>
      </c>
    </row>
    <row r="792" spans="1:5" x14ac:dyDescent="0.35">
      <c r="A792" s="1">
        <v>44256</v>
      </c>
      <c r="B792" s="2">
        <v>44256</v>
      </c>
      <c r="C792">
        <v>-0.5</v>
      </c>
      <c r="D792">
        <v>0.25</v>
      </c>
      <c r="E792" s="4">
        <v>0</v>
      </c>
    </row>
    <row r="793" spans="1:5" x14ac:dyDescent="0.35">
      <c r="A793" s="1">
        <v>44257</v>
      </c>
      <c r="B793" s="2">
        <v>44257</v>
      </c>
      <c r="C793">
        <v>-0.5</v>
      </c>
      <c r="D793">
        <v>0.25</v>
      </c>
      <c r="E793" s="4">
        <v>0</v>
      </c>
    </row>
    <row r="794" spans="1:5" x14ac:dyDescent="0.35">
      <c r="A794" s="1">
        <v>44258</v>
      </c>
      <c r="B794" s="2">
        <v>44258</v>
      </c>
      <c r="C794">
        <v>-0.5</v>
      </c>
      <c r="D794">
        <v>0.25</v>
      </c>
      <c r="E794" s="4">
        <v>0</v>
      </c>
    </row>
    <row r="795" spans="1:5" x14ac:dyDescent="0.35">
      <c r="A795" s="1">
        <v>44259</v>
      </c>
      <c r="B795" s="2">
        <v>44259</v>
      </c>
      <c r="C795">
        <v>-0.5</v>
      </c>
      <c r="D795">
        <v>0.25</v>
      </c>
      <c r="E795" s="4">
        <v>0</v>
      </c>
    </row>
    <row r="796" spans="1:5" x14ac:dyDescent="0.35">
      <c r="A796" s="1">
        <v>44260</v>
      </c>
      <c r="B796" s="2">
        <v>44260</v>
      </c>
      <c r="C796">
        <v>-0.5</v>
      </c>
      <c r="D796">
        <v>0.25</v>
      </c>
      <c r="E796" s="4">
        <v>0</v>
      </c>
    </row>
    <row r="797" spans="1:5" x14ac:dyDescent="0.35">
      <c r="A797" s="1">
        <v>44261</v>
      </c>
      <c r="B797" s="2">
        <v>44261</v>
      </c>
      <c r="C797">
        <v>-0.5</v>
      </c>
      <c r="D797">
        <v>0.25</v>
      </c>
      <c r="E797" s="4">
        <v>0</v>
      </c>
    </row>
    <row r="798" spans="1:5" x14ac:dyDescent="0.35">
      <c r="A798" s="1">
        <v>44262</v>
      </c>
      <c r="B798" s="2">
        <v>44262</v>
      </c>
      <c r="C798">
        <v>-0.5</v>
      </c>
      <c r="D798">
        <v>0.25</v>
      </c>
      <c r="E798" s="4">
        <v>0</v>
      </c>
    </row>
    <row r="799" spans="1:5" x14ac:dyDescent="0.35">
      <c r="A799" s="1">
        <v>44263</v>
      </c>
      <c r="B799" s="2">
        <v>44263</v>
      </c>
      <c r="C799">
        <v>-0.5</v>
      </c>
      <c r="D799">
        <v>0.25</v>
      </c>
      <c r="E799" s="4">
        <v>0</v>
      </c>
    </row>
    <row r="800" spans="1:5" x14ac:dyDescent="0.35">
      <c r="A800" s="1">
        <v>44264</v>
      </c>
      <c r="B800" s="2">
        <v>44264</v>
      </c>
      <c r="C800">
        <v>-0.5</v>
      </c>
      <c r="D800">
        <v>0.25</v>
      </c>
      <c r="E800" s="4">
        <v>0</v>
      </c>
    </row>
    <row r="801" spans="1:5" x14ac:dyDescent="0.35">
      <c r="A801" s="1">
        <v>44265</v>
      </c>
      <c r="B801" s="2">
        <v>44265</v>
      </c>
      <c r="C801">
        <v>-0.5</v>
      </c>
      <c r="D801">
        <v>0.25</v>
      </c>
      <c r="E801" s="4">
        <v>0</v>
      </c>
    </row>
    <row r="802" spans="1:5" x14ac:dyDescent="0.35">
      <c r="A802" s="1">
        <v>44266</v>
      </c>
      <c r="B802" s="2">
        <v>44266</v>
      </c>
      <c r="C802">
        <v>-0.5</v>
      </c>
      <c r="D802">
        <v>0.25</v>
      </c>
      <c r="E802" s="4">
        <v>0</v>
      </c>
    </row>
    <row r="803" spans="1:5" x14ac:dyDescent="0.35">
      <c r="A803" s="1">
        <v>44267</v>
      </c>
      <c r="B803" s="2">
        <v>44267</v>
      </c>
      <c r="C803">
        <v>-0.5</v>
      </c>
      <c r="D803">
        <v>0.25</v>
      </c>
      <c r="E803" s="4">
        <v>0</v>
      </c>
    </row>
    <row r="804" spans="1:5" x14ac:dyDescent="0.35">
      <c r="A804" s="1">
        <v>44268</v>
      </c>
      <c r="B804" s="2">
        <v>44268</v>
      </c>
      <c r="C804">
        <v>-0.5</v>
      </c>
      <c r="D804">
        <v>0.25</v>
      </c>
      <c r="E804" s="4">
        <v>0</v>
      </c>
    </row>
    <row r="805" spans="1:5" x14ac:dyDescent="0.35">
      <c r="A805" s="1">
        <v>44269</v>
      </c>
      <c r="B805" s="2">
        <v>44269</v>
      </c>
      <c r="C805">
        <v>-0.5</v>
      </c>
      <c r="D805">
        <v>0.25</v>
      </c>
      <c r="E805" s="4">
        <v>0</v>
      </c>
    </row>
    <row r="806" spans="1:5" x14ac:dyDescent="0.35">
      <c r="A806" s="1">
        <v>44270</v>
      </c>
      <c r="B806" s="2">
        <v>44270</v>
      </c>
      <c r="C806">
        <v>-0.5</v>
      </c>
      <c r="D806">
        <v>0.25</v>
      </c>
      <c r="E806" s="4">
        <v>0</v>
      </c>
    </row>
    <row r="807" spans="1:5" x14ac:dyDescent="0.35">
      <c r="A807" s="1">
        <v>44271</v>
      </c>
      <c r="B807" s="2">
        <v>44271</v>
      </c>
      <c r="C807">
        <v>-0.5</v>
      </c>
      <c r="D807">
        <v>0.25</v>
      </c>
      <c r="E807" s="4">
        <v>0</v>
      </c>
    </row>
    <row r="808" spans="1:5" x14ac:dyDescent="0.35">
      <c r="A808" s="1">
        <v>44272</v>
      </c>
      <c r="B808" s="2">
        <v>44272</v>
      </c>
      <c r="C808">
        <v>-0.5</v>
      </c>
      <c r="D808">
        <v>0.25</v>
      </c>
      <c r="E808" s="4">
        <v>0</v>
      </c>
    </row>
    <row r="809" spans="1:5" x14ac:dyDescent="0.35">
      <c r="A809" s="1">
        <v>44273</v>
      </c>
      <c r="B809" s="2">
        <v>44273</v>
      </c>
      <c r="C809">
        <v>-0.5</v>
      </c>
      <c r="D809">
        <v>0.25</v>
      </c>
      <c r="E809" s="4">
        <v>0</v>
      </c>
    </row>
    <row r="810" spans="1:5" x14ac:dyDescent="0.35">
      <c r="A810" s="1">
        <v>44274</v>
      </c>
      <c r="B810" s="2">
        <v>44274</v>
      </c>
      <c r="C810">
        <v>-0.5</v>
      </c>
      <c r="D810">
        <v>0.25</v>
      </c>
      <c r="E810" s="4">
        <v>0</v>
      </c>
    </row>
    <row r="811" spans="1:5" x14ac:dyDescent="0.35">
      <c r="A811" s="1">
        <v>44275</v>
      </c>
      <c r="B811" s="2">
        <v>44275</v>
      </c>
      <c r="C811">
        <v>-0.5</v>
      </c>
      <c r="D811">
        <v>0.25</v>
      </c>
      <c r="E811" s="4">
        <v>0</v>
      </c>
    </row>
    <row r="812" spans="1:5" x14ac:dyDescent="0.35">
      <c r="A812" s="1">
        <v>44276</v>
      </c>
      <c r="B812" s="2">
        <v>44276</v>
      </c>
      <c r="C812">
        <v>-0.5</v>
      </c>
      <c r="D812">
        <v>0.25</v>
      </c>
      <c r="E812" s="4">
        <v>0</v>
      </c>
    </row>
    <row r="813" spans="1:5" x14ac:dyDescent="0.35">
      <c r="A813" s="1">
        <v>44277</v>
      </c>
      <c r="B813" s="2">
        <v>44277</v>
      </c>
      <c r="C813">
        <v>-0.5</v>
      </c>
      <c r="D813">
        <v>0.25</v>
      </c>
      <c r="E813" s="4">
        <v>0</v>
      </c>
    </row>
    <row r="814" spans="1:5" x14ac:dyDescent="0.35">
      <c r="A814" s="1">
        <v>44278</v>
      </c>
      <c r="B814" s="2">
        <v>44278</v>
      </c>
      <c r="C814">
        <v>-0.5</v>
      </c>
      <c r="D814">
        <v>0.25</v>
      </c>
      <c r="E814" s="4">
        <v>0</v>
      </c>
    </row>
    <row r="815" spans="1:5" x14ac:dyDescent="0.35">
      <c r="A815" s="1">
        <v>44279</v>
      </c>
      <c r="B815" s="2">
        <v>44279</v>
      </c>
      <c r="C815">
        <v>-0.5</v>
      </c>
      <c r="D815">
        <v>0.25</v>
      </c>
      <c r="E815" s="4">
        <v>0</v>
      </c>
    </row>
    <row r="816" spans="1:5" x14ac:dyDescent="0.35">
      <c r="A816" s="1">
        <v>44280</v>
      </c>
      <c r="B816" s="2">
        <v>44280</v>
      </c>
      <c r="C816">
        <v>-0.5</v>
      </c>
      <c r="D816">
        <v>0.25</v>
      </c>
      <c r="E816" s="4">
        <v>0</v>
      </c>
    </row>
    <row r="817" spans="1:5" x14ac:dyDescent="0.35">
      <c r="A817" s="1">
        <v>44281</v>
      </c>
      <c r="B817" s="2">
        <v>44281</v>
      </c>
      <c r="C817">
        <v>-0.5</v>
      </c>
      <c r="D817">
        <v>0.25</v>
      </c>
      <c r="E817" s="4">
        <v>0</v>
      </c>
    </row>
    <row r="818" spans="1:5" x14ac:dyDescent="0.35">
      <c r="A818" s="1">
        <v>44282</v>
      </c>
      <c r="B818" s="2">
        <v>44282</v>
      </c>
      <c r="C818">
        <v>-0.5</v>
      </c>
      <c r="D818">
        <v>0.25</v>
      </c>
      <c r="E818" s="4">
        <v>0</v>
      </c>
    </row>
    <row r="819" spans="1:5" x14ac:dyDescent="0.35">
      <c r="A819" s="1">
        <v>44283</v>
      </c>
      <c r="B819" s="2">
        <v>44283</v>
      </c>
      <c r="C819">
        <v>-0.5</v>
      </c>
      <c r="D819">
        <v>0.25</v>
      </c>
      <c r="E819" s="4">
        <v>0</v>
      </c>
    </row>
    <row r="820" spans="1:5" x14ac:dyDescent="0.35">
      <c r="A820" s="1">
        <v>44284</v>
      </c>
      <c r="B820" s="2">
        <v>44284</v>
      </c>
      <c r="C820">
        <v>-0.5</v>
      </c>
      <c r="D820">
        <v>0.25</v>
      </c>
      <c r="E820" s="4">
        <v>0</v>
      </c>
    </row>
    <row r="821" spans="1:5" x14ac:dyDescent="0.35">
      <c r="A821" s="1">
        <v>44285</v>
      </c>
      <c r="B821" s="2">
        <v>44285</v>
      </c>
      <c r="C821">
        <v>-0.5</v>
      </c>
      <c r="D821">
        <v>0.25</v>
      </c>
      <c r="E821" s="4">
        <v>0</v>
      </c>
    </row>
    <row r="822" spans="1:5" x14ac:dyDescent="0.35">
      <c r="A822" s="1">
        <v>44286</v>
      </c>
      <c r="B822" s="2">
        <v>44286</v>
      </c>
      <c r="C822">
        <v>-0.5</v>
      </c>
      <c r="D822">
        <v>0.25</v>
      </c>
      <c r="E822" s="4">
        <v>0</v>
      </c>
    </row>
    <row r="823" spans="1:5" x14ac:dyDescent="0.35">
      <c r="A823" s="1">
        <v>44287</v>
      </c>
      <c r="B823" s="2">
        <v>44287</v>
      </c>
      <c r="C823">
        <v>-0.5</v>
      </c>
      <c r="D823">
        <v>0.25</v>
      </c>
      <c r="E823" s="4">
        <v>0</v>
      </c>
    </row>
    <row r="824" spans="1:5" x14ac:dyDescent="0.35">
      <c r="A824" s="1">
        <v>44288</v>
      </c>
      <c r="B824" s="2">
        <v>44288</v>
      </c>
      <c r="C824">
        <v>-0.5</v>
      </c>
      <c r="D824">
        <v>0.25</v>
      </c>
      <c r="E824" s="4">
        <v>0</v>
      </c>
    </row>
    <row r="825" spans="1:5" x14ac:dyDescent="0.35">
      <c r="A825" s="1">
        <v>44289</v>
      </c>
      <c r="B825" s="2">
        <v>44289</v>
      </c>
      <c r="C825">
        <v>-0.5</v>
      </c>
      <c r="D825">
        <v>0.25</v>
      </c>
      <c r="E825" s="4">
        <v>0</v>
      </c>
    </row>
    <row r="826" spans="1:5" x14ac:dyDescent="0.35">
      <c r="A826" s="1">
        <v>44290</v>
      </c>
      <c r="B826" s="2">
        <v>44290</v>
      </c>
      <c r="C826">
        <v>-0.5</v>
      </c>
      <c r="D826">
        <v>0.25</v>
      </c>
      <c r="E826" s="4">
        <v>0</v>
      </c>
    </row>
    <row r="827" spans="1:5" x14ac:dyDescent="0.35">
      <c r="A827" s="1">
        <v>44291</v>
      </c>
      <c r="B827" s="2">
        <v>44291</v>
      </c>
      <c r="C827">
        <v>-0.5</v>
      </c>
      <c r="D827">
        <v>0.25</v>
      </c>
      <c r="E827" s="4">
        <v>0</v>
      </c>
    </row>
    <row r="828" spans="1:5" x14ac:dyDescent="0.35">
      <c r="A828" s="1">
        <v>44292</v>
      </c>
      <c r="B828" s="2">
        <v>44292</v>
      </c>
      <c r="C828">
        <v>-0.5</v>
      </c>
      <c r="D828">
        <v>0.25</v>
      </c>
      <c r="E828" s="4">
        <v>0</v>
      </c>
    </row>
    <row r="829" spans="1:5" x14ac:dyDescent="0.35">
      <c r="A829" s="1">
        <v>44293</v>
      </c>
      <c r="B829" s="2">
        <v>44293</v>
      </c>
      <c r="C829">
        <v>-0.5</v>
      </c>
      <c r="D829">
        <v>0.25</v>
      </c>
      <c r="E829" s="4">
        <v>0</v>
      </c>
    </row>
    <row r="830" spans="1:5" x14ac:dyDescent="0.35">
      <c r="A830" s="1">
        <v>44294</v>
      </c>
      <c r="B830" s="2">
        <v>44294</v>
      </c>
      <c r="C830">
        <v>-0.5</v>
      </c>
      <c r="D830">
        <v>0.25</v>
      </c>
      <c r="E830" s="4">
        <v>0</v>
      </c>
    </row>
    <row r="831" spans="1:5" x14ac:dyDescent="0.35">
      <c r="A831" s="1">
        <v>44295</v>
      </c>
      <c r="B831" s="2">
        <v>44295</v>
      </c>
      <c r="C831">
        <v>-0.5</v>
      </c>
      <c r="D831">
        <v>0.25</v>
      </c>
      <c r="E831" s="4">
        <v>0</v>
      </c>
    </row>
    <row r="832" spans="1:5" x14ac:dyDescent="0.35">
      <c r="A832" s="1">
        <v>44296</v>
      </c>
      <c r="B832" s="2">
        <v>44296</v>
      </c>
      <c r="C832">
        <v>-0.5</v>
      </c>
      <c r="D832">
        <v>0.25</v>
      </c>
      <c r="E832" s="4">
        <v>0</v>
      </c>
    </row>
    <row r="833" spans="1:5" x14ac:dyDescent="0.35">
      <c r="A833" s="1">
        <v>44297</v>
      </c>
      <c r="B833" s="2">
        <v>44297</v>
      </c>
      <c r="C833">
        <v>-0.5</v>
      </c>
      <c r="D833">
        <v>0.25</v>
      </c>
      <c r="E833" s="4">
        <v>0</v>
      </c>
    </row>
    <row r="834" spans="1:5" x14ac:dyDescent="0.35">
      <c r="A834" s="1">
        <v>44298</v>
      </c>
      <c r="B834" s="2">
        <v>44298</v>
      </c>
      <c r="C834">
        <v>-0.5</v>
      </c>
      <c r="D834">
        <v>0.25</v>
      </c>
      <c r="E834" s="4">
        <v>0</v>
      </c>
    </row>
    <row r="835" spans="1:5" x14ac:dyDescent="0.35">
      <c r="A835" s="1">
        <v>44299</v>
      </c>
      <c r="B835" s="2">
        <v>44299</v>
      </c>
      <c r="C835">
        <v>-0.5</v>
      </c>
      <c r="D835">
        <v>0.25</v>
      </c>
      <c r="E835" s="4">
        <v>0</v>
      </c>
    </row>
    <row r="836" spans="1:5" x14ac:dyDescent="0.35">
      <c r="A836" s="1">
        <v>44300</v>
      </c>
      <c r="B836" s="2">
        <v>44300</v>
      </c>
      <c r="C836">
        <v>-0.5</v>
      </c>
      <c r="D836">
        <v>0.25</v>
      </c>
      <c r="E836" s="4">
        <v>0</v>
      </c>
    </row>
    <row r="837" spans="1:5" x14ac:dyDescent="0.35">
      <c r="A837" s="1">
        <v>44301</v>
      </c>
      <c r="B837" s="2">
        <v>44301</v>
      </c>
      <c r="C837">
        <v>-0.5</v>
      </c>
      <c r="D837">
        <v>0.25</v>
      </c>
      <c r="E837" s="4">
        <v>0</v>
      </c>
    </row>
    <row r="838" spans="1:5" x14ac:dyDescent="0.35">
      <c r="A838" s="1">
        <v>44302</v>
      </c>
      <c r="B838" s="2">
        <v>44302</v>
      </c>
      <c r="C838">
        <v>-0.5</v>
      </c>
      <c r="D838">
        <v>0.25</v>
      </c>
      <c r="E838" s="4">
        <v>0</v>
      </c>
    </row>
    <row r="839" spans="1:5" x14ac:dyDescent="0.35">
      <c r="A839" s="1">
        <v>44303</v>
      </c>
      <c r="B839" s="2">
        <v>44303</v>
      </c>
      <c r="C839">
        <v>-0.5</v>
      </c>
      <c r="D839">
        <v>0.25</v>
      </c>
      <c r="E839" s="4">
        <v>0</v>
      </c>
    </row>
    <row r="840" spans="1:5" x14ac:dyDescent="0.35">
      <c r="A840" s="1">
        <v>44304</v>
      </c>
      <c r="B840" s="2">
        <v>44304</v>
      </c>
      <c r="C840">
        <v>-0.5</v>
      </c>
      <c r="D840">
        <v>0.25</v>
      </c>
      <c r="E840" s="4">
        <v>0</v>
      </c>
    </row>
    <row r="841" spans="1:5" x14ac:dyDescent="0.35">
      <c r="A841" s="1">
        <v>44305</v>
      </c>
      <c r="B841" s="2">
        <v>44305</v>
      </c>
      <c r="C841">
        <v>-0.5</v>
      </c>
      <c r="D841">
        <v>0.25</v>
      </c>
      <c r="E841" s="4">
        <v>0</v>
      </c>
    </row>
    <row r="842" spans="1:5" x14ac:dyDescent="0.35">
      <c r="A842" s="1">
        <v>44306</v>
      </c>
      <c r="B842" s="2">
        <v>44306</v>
      </c>
      <c r="C842">
        <v>-0.5</v>
      </c>
      <c r="D842">
        <v>0.25</v>
      </c>
      <c r="E842" s="4">
        <v>0</v>
      </c>
    </row>
    <row r="843" spans="1:5" x14ac:dyDescent="0.35">
      <c r="A843" s="1">
        <v>44307</v>
      </c>
      <c r="B843" s="2">
        <v>44307</v>
      </c>
      <c r="C843">
        <v>-0.5</v>
      </c>
      <c r="D843">
        <v>0.25</v>
      </c>
      <c r="E843" s="4">
        <v>0</v>
      </c>
    </row>
    <row r="844" spans="1:5" x14ac:dyDescent="0.35">
      <c r="A844" s="1">
        <v>44308</v>
      </c>
      <c r="B844" s="2">
        <v>44308</v>
      </c>
      <c r="C844">
        <v>-0.5</v>
      </c>
      <c r="D844">
        <v>0.25</v>
      </c>
      <c r="E844" s="4">
        <v>0</v>
      </c>
    </row>
    <row r="845" spans="1:5" x14ac:dyDescent="0.35">
      <c r="A845" s="1">
        <v>44309</v>
      </c>
      <c r="B845" s="2">
        <v>44309</v>
      </c>
      <c r="C845">
        <v>-0.5</v>
      </c>
      <c r="D845">
        <v>0.25</v>
      </c>
      <c r="E845" s="4">
        <v>0</v>
      </c>
    </row>
    <row r="846" spans="1:5" x14ac:dyDescent="0.35">
      <c r="A846" s="1">
        <v>44310</v>
      </c>
      <c r="B846" s="2">
        <v>44310</v>
      </c>
      <c r="C846">
        <v>-0.5</v>
      </c>
      <c r="D846">
        <v>0.25</v>
      </c>
      <c r="E846" s="4">
        <v>0</v>
      </c>
    </row>
    <row r="847" spans="1:5" x14ac:dyDescent="0.35">
      <c r="A847" s="1">
        <v>44311</v>
      </c>
      <c r="B847" s="2">
        <v>44311</v>
      </c>
      <c r="C847">
        <v>-0.5</v>
      </c>
      <c r="D847">
        <v>0.25</v>
      </c>
      <c r="E847" s="4">
        <v>0</v>
      </c>
    </row>
    <row r="848" spans="1:5" x14ac:dyDescent="0.35">
      <c r="A848" s="1">
        <v>44312</v>
      </c>
      <c r="B848" s="2">
        <v>44312</v>
      </c>
      <c r="C848">
        <v>-0.5</v>
      </c>
      <c r="D848">
        <v>0.25</v>
      </c>
      <c r="E848" s="4">
        <v>0</v>
      </c>
    </row>
    <row r="849" spans="1:5" x14ac:dyDescent="0.35">
      <c r="A849" s="1">
        <v>44313</v>
      </c>
      <c r="B849" s="2">
        <v>44313</v>
      </c>
      <c r="C849">
        <v>-0.5</v>
      </c>
      <c r="D849">
        <v>0.25</v>
      </c>
      <c r="E849" s="4">
        <v>0</v>
      </c>
    </row>
    <row r="850" spans="1:5" x14ac:dyDescent="0.35">
      <c r="A850" s="1">
        <v>44314</v>
      </c>
      <c r="B850" s="2">
        <v>44314</v>
      </c>
      <c r="C850">
        <v>-0.5</v>
      </c>
      <c r="D850">
        <v>0.25</v>
      </c>
      <c r="E850" s="4">
        <v>0</v>
      </c>
    </row>
    <row r="851" spans="1:5" x14ac:dyDescent="0.35">
      <c r="A851" s="1">
        <v>44315</v>
      </c>
      <c r="B851" s="2">
        <v>44315</v>
      </c>
      <c r="C851">
        <v>-0.5</v>
      </c>
      <c r="D851">
        <v>0.25</v>
      </c>
      <c r="E851" s="4">
        <v>0</v>
      </c>
    </row>
    <row r="852" spans="1:5" x14ac:dyDescent="0.35">
      <c r="A852" s="1">
        <v>44316</v>
      </c>
      <c r="B852" s="2">
        <v>44316</v>
      </c>
      <c r="C852">
        <v>-0.5</v>
      </c>
      <c r="D852">
        <v>0.25</v>
      </c>
      <c r="E852" s="4">
        <v>0</v>
      </c>
    </row>
    <row r="853" spans="1:5" x14ac:dyDescent="0.35">
      <c r="A853" s="1">
        <v>44317</v>
      </c>
      <c r="B853" s="2">
        <v>44317</v>
      </c>
      <c r="C853">
        <v>-0.5</v>
      </c>
      <c r="D853">
        <v>0.25</v>
      </c>
      <c r="E853" s="4">
        <v>0</v>
      </c>
    </row>
    <row r="854" spans="1:5" x14ac:dyDescent="0.35">
      <c r="A854" s="1">
        <v>44318</v>
      </c>
      <c r="B854" s="2">
        <v>44318</v>
      </c>
      <c r="C854">
        <v>-0.5</v>
      </c>
      <c r="D854">
        <v>0.25</v>
      </c>
      <c r="E854" s="4">
        <v>0</v>
      </c>
    </row>
    <row r="855" spans="1:5" x14ac:dyDescent="0.35">
      <c r="A855" s="1">
        <v>44319</v>
      </c>
      <c r="B855" s="2">
        <v>44319</v>
      </c>
      <c r="C855">
        <v>-0.5</v>
      </c>
      <c r="D855">
        <v>0.25</v>
      </c>
      <c r="E855" s="4">
        <v>0</v>
      </c>
    </row>
    <row r="856" spans="1:5" x14ac:dyDescent="0.35">
      <c r="A856" s="1">
        <v>44320</v>
      </c>
      <c r="B856" s="2">
        <v>44320</v>
      </c>
      <c r="C856">
        <v>-0.5</v>
      </c>
      <c r="D856">
        <v>0.25</v>
      </c>
      <c r="E856" s="4">
        <v>0</v>
      </c>
    </row>
    <row r="857" spans="1:5" x14ac:dyDescent="0.35">
      <c r="A857" s="1">
        <v>44321</v>
      </c>
      <c r="B857" s="2">
        <v>44321</v>
      </c>
      <c r="C857">
        <v>-0.5</v>
      </c>
      <c r="D857">
        <v>0.25</v>
      </c>
      <c r="E857" s="4">
        <v>0</v>
      </c>
    </row>
    <row r="858" spans="1:5" x14ac:dyDescent="0.35">
      <c r="A858" s="1">
        <v>44322</v>
      </c>
      <c r="B858" s="2">
        <v>44322</v>
      </c>
      <c r="C858">
        <v>-0.5</v>
      </c>
      <c r="D858">
        <v>0.25</v>
      </c>
      <c r="E858" s="4">
        <v>0</v>
      </c>
    </row>
    <row r="859" spans="1:5" x14ac:dyDescent="0.35">
      <c r="A859" s="1">
        <v>44323</v>
      </c>
      <c r="B859" s="2">
        <v>44323</v>
      </c>
      <c r="C859">
        <v>-0.5</v>
      </c>
      <c r="D859">
        <v>0.25</v>
      </c>
      <c r="E859" s="4">
        <v>0</v>
      </c>
    </row>
    <row r="860" spans="1:5" x14ac:dyDescent="0.35">
      <c r="A860" s="1">
        <v>44324</v>
      </c>
      <c r="B860" s="2">
        <v>44324</v>
      </c>
      <c r="C860">
        <v>-0.5</v>
      </c>
      <c r="D860">
        <v>0.25</v>
      </c>
      <c r="E860" s="4">
        <v>0</v>
      </c>
    </row>
    <row r="861" spans="1:5" x14ac:dyDescent="0.35">
      <c r="A861" s="1">
        <v>44325</v>
      </c>
      <c r="B861" s="2">
        <v>44325</v>
      </c>
      <c r="C861">
        <v>-0.5</v>
      </c>
      <c r="D861">
        <v>0.25</v>
      </c>
      <c r="E861" s="4">
        <v>0</v>
      </c>
    </row>
    <row r="862" spans="1:5" x14ac:dyDescent="0.35">
      <c r="A862" s="1">
        <v>44326</v>
      </c>
      <c r="B862" s="2">
        <v>44326</v>
      </c>
      <c r="C862">
        <v>-0.5</v>
      </c>
      <c r="D862">
        <v>0.25</v>
      </c>
      <c r="E862" s="4">
        <v>0</v>
      </c>
    </row>
    <row r="863" spans="1:5" x14ac:dyDescent="0.35">
      <c r="A863" s="1">
        <v>44327</v>
      </c>
      <c r="B863" s="2">
        <v>44327</v>
      </c>
      <c r="C863">
        <v>-0.5</v>
      </c>
      <c r="D863">
        <v>0.25</v>
      </c>
      <c r="E863" s="4">
        <v>0</v>
      </c>
    </row>
    <row r="864" spans="1:5" x14ac:dyDescent="0.35">
      <c r="A864" s="1">
        <v>44328</v>
      </c>
      <c r="B864" s="2">
        <v>44328</v>
      </c>
      <c r="C864">
        <v>-0.5</v>
      </c>
      <c r="D864">
        <v>0.25</v>
      </c>
      <c r="E864" s="4">
        <v>0</v>
      </c>
    </row>
    <row r="865" spans="1:5" x14ac:dyDescent="0.35">
      <c r="A865" s="1">
        <v>44329</v>
      </c>
      <c r="B865" s="2">
        <v>44329</v>
      </c>
      <c r="C865">
        <v>-0.5</v>
      </c>
      <c r="D865">
        <v>0.25</v>
      </c>
      <c r="E865" s="4">
        <v>0</v>
      </c>
    </row>
    <row r="866" spans="1:5" x14ac:dyDescent="0.35">
      <c r="A866" s="1">
        <v>44330</v>
      </c>
      <c r="B866" s="2">
        <v>44330</v>
      </c>
      <c r="C866">
        <v>-0.5</v>
      </c>
      <c r="D866">
        <v>0.25</v>
      </c>
      <c r="E866" s="4">
        <v>0</v>
      </c>
    </row>
    <row r="867" spans="1:5" x14ac:dyDescent="0.35">
      <c r="A867" s="1">
        <v>44331</v>
      </c>
      <c r="B867" s="2">
        <v>44331</v>
      </c>
      <c r="C867">
        <v>-0.5</v>
      </c>
      <c r="D867">
        <v>0.25</v>
      </c>
      <c r="E867" s="4">
        <v>0</v>
      </c>
    </row>
    <row r="868" spans="1:5" x14ac:dyDescent="0.35">
      <c r="A868" s="1">
        <v>44332</v>
      </c>
      <c r="B868" s="2">
        <v>44332</v>
      </c>
      <c r="C868">
        <v>-0.5</v>
      </c>
      <c r="D868">
        <v>0.25</v>
      </c>
      <c r="E868" s="4">
        <v>0</v>
      </c>
    </row>
    <row r="869" spans="1:5" x14ac:dyDescent="0.35">
      <c r="A869" s="1">
        <v>44333</v>
      </c>
      <c r="B869" s="2">
        <v>44333</v>
      </c>
      <c r="C869">
        <v>-0.5</v>
      </c>
      <c r="D869">
        <v>0.25</v>
      </c>
      <c r="E869" s="4">
        <v>0</v>
      </c>
    </row>
    <row r="870" spans="1:5" x14ac:dyDescent="0.35">
      <c r="A870" s="1">
        <v>44334</v>
      </c>
      <c r="B870" s="2">
        <v>44334</v>
      </c>
      <c r="C870">
        <v>-0.5</v>
      </c>
      <c r="D870">
        <v>0.25</v>
      </c>
      <c r="E870" s="4">
        <v>0</v>
      </c>
    </row>
    <row r="871" spans="1:5" x14ac:dyDescent="0.35">
      <c r="A871" s="1">
        <v>44335</v>
      </c>
      <c r="B871" s="2">
        <v>44335</v>
      </c>
      <c r="C871">
        <v>-0.5</v>
      </c>
      <c r="D871">
        <v>0.25</v>
      </c>
      <c r="E871" s="4">
        <v>0</v>
      </c>
    </row>
    <row r="872" spans="1:5" x14ac:dyDescent="0.35">
      <c r="A872" s="1">
        <v>44336</v>
      </c>
      <c r="B872" s="2">
        <v>44336</v>
      </c>
      <c r="C872">
        <v>-0.5</v>
      </c>
      <c r="D872">
        <v>0.25</v>
      </c>
      <c r="E872" s="4">
        <v>0</v>
      </c>
    </row>
    <row r="873" spans="1:5" x14ac:dyDescent="0.35">
      <c r="A873" s="1">
        <v>44337</v>
      </c>
      <c r="B873" s="2">
        <v>44337</v>
      </c>
      <c r="C873">
        <v>-0.5</v>
      </c>
      <c r="D873">
        <v>0.25</v>
      </c>
      <c r="E873" s="4">
        <v>0</v>
      </c>
    </row>
    <row r="874" spans="1:5" x14ac:dyDescent="0.35">
      <c r="A874" s="1">
        <v>44338</v>
      </c>
      <c r="B874" s="2">
        <v>44338</v>
      </c>
      <c r="C874">
        <v>-0.5</v>
      </c>
      <c r="D874">
        <v>0.25</v>
      </c>
      <c r="E874" s="4">
        <v>0</v>
      </c>
    </row>
    <row r="875" spans="1:5" x14ac:dyDescent="0.35">
      <c r="A875" s="1">
        <v>44339</v>
      </c>
      <c r="B875" s="2">
        <v>44339</v>
      </c>
      <c r="C875">
        <v>-0.5</v>
      </c>
      <c r="D875">
        <v>0.25</v>
      </c>
      <c r="E875" s="4">
        <v>0</v>
      </c>
    </row>
    <row r="876" spans="1:5" x14ac:dyDescent="0.35">
      <c r="A876" s="1">
        <v>44340</v>
      </c>
      <c r="B876" s="2">
        <v>44340</v>
      </c>
      <c r="C876">
        <v>-0.5</v>
      </c>
      <c r="D876">
        <v>0.25</v>
      </c>
      <c r="E876" s="4">
        <v>0</v>
      </c>
    </row>
    <row r="877" spans="1:5" x14ac:dyDescent="0.35">
      <c r="A877" s="1">
        <v>44341</v>
      </c>
      <c r="B877" s="2">
        <v>44341</v>
      </c>
      <c r="C877">
        <v>-0.5</v>
      </c>
      <c r="D877">
        <v>0.25</v>
      </c>
      <c r="E877" s="4">
        <v>0</v>
      </c>
    </row>
    <row r="878" spans="1:5" x14ac:dyDescent="0.35">
      <c r="A878" s="1">
        <v>44342</v>
      </c>
      <c r="B878" s="2">
        <v>44342</v>
      </c>
      <c r="C878">
        <v>-0.5</v>
      </c>
      <c r="D878">
        <v>0.25</v>
      </c>
      <c r="E878" s="4">
        <v>0</v>
      </c>
    </row>
    <row r="879" spans="1:5" x14ac:dyDescent="0.35">
      <c r="A879" s="1">
        <v>44343</v>
      </c>
      <c r="B879" s="2">
        <v>44343</v>
      </c>
      <c r="C879">
        <v>-0.5</v>
      </c>
      <c r="D879">
        <v>0.25</v>
      </c>
      <c r="E879" s="4">
        <v>0</v>
      </c>
    </row>
    <row r="880" spans="1:5" x14ac:dyDescent="0.35">
      <c r="A880" s="1">
        <v>44344</v>
      </c>
      <c r="B880" s="2">
        <v>44344</v>
      </c>
      <c r="C880">
        <v>-0.5</v>
      </c>
      <c r="D880">
        <v>0.25</v>
      </c>
      <c r="E880" s="4">
        <v>0</v>
      </c>
    </row>
    <row r="881" spans="1:5" x14ac:dyDescent="0.35">
      <c r="A881" s="1">
        <v>44345</v>
      </c>
      <c r="B881" s="2">
        <v>44345</v>
      </c>
      <c r="C881">
        <v>-0.5</v>
      </c>
      <c r="D881">
        <v>0.25</v>
      </c>
      <c r="E881" s="4">
        <v>0</v>
      </c>
    </row>
    <row r="882" spans="1:5" x14ac:dyDescent="0.35">
      <c r="A882" s="1">
        <v>44346</v>
      </c>
      <c r="B882" s="2">
        <v>44346</v>
      </c>
      <c r="C882">
        <v>-0.5</v>
      </c>
      <c r="D882">
        <v>0.25</v>
      </c>
      <c r="E882" s="4">
        <v>0</v>
      </c>
    </row>
    <row r="883" spans="1:5" x14ac:dyDescent="0.35">
      <c r="A883" s="1">
        <v>44347</v>
      </c>
      <c r="B883" s="2">
        <v>44347</v>
      </c>
      <c r="C883">
        <v>-0.5</v>
      </c>
      <c r="D883">
        <v>0.25</v>
      </c>
      <c r="E883" s="4">
        <v>0</v>
      </c>
    </row>
    <row r="884" spans="1:5" x14ac:dyDescent="0.35">
      <c r="A884" s="1">
        <v>44348</v>
      </c>
      <c r="B884" s="2">
        <v>44348</v>
      </c>
      <c r="C884">
        <v>-0.5</v>
      </c>
      <c r="D884">
        <v>0.25</v>
      </c>
      <c r="E884" s="4">
        <v>0</v>
      </c>
    </row>
    <row r="885" spans="1:5" x14ac:dyDescent="0.35">
      <c r="A885" s="1">
        <v>44349</v>
      </c>
      <c r="B885" s="2">
        <v>44349</v>
      </c>
      <c r="C885">
        <v>-0.5</v>
      </c>
      <c r="D885">
        <v>0.25</v>
      </c>
      <c r="E885" s="4">
        <v>0</v>
      </c>
    </row>
    <row r="886" spans="1:5" x14ac:dyDescent="0.35">
      <c r="A886" s="1">
        <v>44350</v>
      </c>
      <c r="B886" s="2">
        <v>44350</v>
      </c>
      <c r="C886">
        <v>-0.5</v>
      </c>
      <c r="D886">
        <v>0.25</v>
      </c>
      <c r="E886" s="4">
        <v>0</v>
      </c>
    </row>
    <row r="887" spans="1:5" x14ac:dyDescent="0.35">
      <c r="A887" s="1">
        <v>44351</v>
      </c>
      <c r="B887" s="2">
        <v>44351</v>
      </c>
      <c r="C887">
        <v>-0.5</v>
      </c>
      <c r="D887">
        <v>0.25</v>
      </c>
      <c r="E887" s="4">
        <v>0</v>
      </c>
    </row>
    <row r="888" spans="1:5" x14ac:dyDescent="0.35">
      <c r="A888" s="1">
        <v>44352</v>
      </c>
      <c r="B888" s="2">
        <v>44352</v>
      </c>
      <c r="C888">
        <v>-0.5</v>
      </c>
      <c r="D888">
        <v>0.25</v>
      </c>
      <c r="E888" s="4">
        <v>0</v>
      </c>
    </row>
    <row r="889" spans="1:5" x14ac:dyDescent="0.35">
      <c r="A889" s="1">
        <v>44353</v>
      </c>
      <c r="B889" s="2">
        <v>44353</v>
      </c>
      <c r="C889">
        <v>-0.5</v>
      </c>
      <c r="D889">
        <v>0.25</v>
      </c>
      <c r="E889" s="4">
        <v>0</v>
      </c>
    </row>
    <row r="890" spans="1:5" x14ac:dyDescent="0.35">
      <c r="A890" s="1">
        <v>44354</v>
      </c>
      <c r="B890" s="2">
        <v>44354</v>
      </c>
      <c r="C890">
        <v>-0.5</v>
      </c>
      <c r="D890">
        <v>0.25</v>
      </c>
      <c r="E890" s="4">
        <v>0</v>
      </c>
    </row>
    <row r="891" spans="1:5" x14ac:dyDescent="0.35">
      <c r="A891" s="1">
        <v>44355</v>
      </c>
      <c r="B891" s="2">
        <v>44355</v>
      </c>
      <c r="C891">
        <v>-0.5</v>
      </c>
      <c r="D891">
        <v>0.25</v>
      </c>
      <c r="E891" s="4">
        <v>0</v>
      </c>
    </row>
    <row r="892" spans="1:5" x14ac:dyDescent="0.35">
      <c r="A892" s="1">
        <v>44356</v>
      </c>
      <c r="B892" s="2">
        <v>44356</v>
      </c>
      <c r="C892">
        <v>-0.5</v>
      </c>
      <c r="D892">
        <v>0.25</v>
      </c>
      <c r="E892" s="4">
        <v>0</v>
      </c>
    </row>
    <row r="893" spans="1:5" x14ac:dyDescent="0.35">
      <c r="A893" s="1">
        <v>44357</v>
      </c>
      <c r="B893" s="2">
        <v>44357</v>
      </c>
      <c r="C893">
        <v>-0.5</v>
      </c>
      <c r="D893">
        <v>0.25</v>
      </c>
      <c r="E893" s="4">
        <v>0</v>
      </c>
    </row>
    <row r="894" spans="1:5" x14ac:dyDescent="0.35">
      <c r="A894" s="1">
        <v>44358</v>
      </c>
      <c r="B894" s="2">
        <v>44358</v>
      </c>
      <c r="C894">
        <v>-0.5</v>
      </c>
      <c r="D894">
        <v>0.25</v>
      </c>
      <c r="E894" s="4">
        <v>0</v>
      </c>
    </row>
    <row r="895" spans="1:5" x14ac:dyDescent="0.35">
      <c r="A895" s="1">
        <v>44359</v>
      </c>
      <c r="B895" s="2">
        <v>44359</v>
      </c>
      <c r="C895">
        <v>-0.5</v>
      </c>
      <c r="D895">
        <v>0.25</v>
      </c>
      <c r="E895" s="4">
        <v>0</v>
      </c>
    </row>
    <row r="896" spans="1:5" x14ac:dyDescent="0.35">
      <c r="A896" s="1">
        <v>44360</v>
      </c>
      <c r="B896" s="2">
        <v>44360</v>
      </c>
      <c r="C896">
        <v>-0.5</v>
      </c>
      <c r="D896">
        <v>0.25</v>
      </c>
      <c r="E896" s="4">
        <v>0</v>
      </c>
    </row>
    <row r="897" spans="1:5" x14ac:dyDescent="0.35">
      <c r="A897" s="1">
        <v>44361</v>
      </c>
      <c r="B897" s="2">
        <v>44361</v>
      </c>
      <c r="C897">
        <v>-0.5</v>
      </c>
      <c r="D897">
        <v>0.25</v>
      </c>
      <c r="E897" s="4">
        <v>0</v>
      </c>
    </row>
    <row r="898" spans="1:5" x14ac:dyDescent="0.35">
      <c r="A898" s="1">
        <v>44362</v>
      </c>
      <c r="B898" s="2">
        <v>44362</v>
      </c>
      <c r="C898">
        <v>-0.5</v>
      </c>
      <c r="D898">
        <v>0.25</v>
      </c>
      <c r="E898" s="4">
        <v>0</v>
      </c>
    </row>
    <row r="899" spans="1:5" x14ac:dyDescent="0.35">
      <c r="A899" s="1">
        <v>44363</v>
      </c>
      <c r="B899" s="2">
        <v>44363</v>
      </c>
      <c r="C899">
        <v>-0.5</v>
      </c>
      <c r="D899">
        <v>0.25</v>
      </c>
      <c r="E899" s="4">
        <v>0</v>
      </c>
    </row>
    <row r="900" spans="1:5" x14ac:dyDescent="0.35">
      <c r="A900" s="1">
        <v>44364</v>
      </c>
      <c r="B900" s="2">
        <v>44364</v>
      </c>
      <c r="C900">
        <v>-0.5</v>
      </c>
      <c r="D900">
        <v>0.25</v>
      </c>
      <c r="E900" s="4">
        <v>0</v>
      </c>
    </row>
    <row r="901" spans="1:5" x14ac:dyDescent="0.35">
      <c r="A901" s="1">
        <v>44365</v>
      </c>
      <c r="B901" s="2">
        <v>44365</v>
      </c>
      <c r="C901">
        <v>-0.5</v>
      </c>
      <c r="D901">
        <v>0.25</v>
      </c>
      <c r="E901" s="4">
        <v>0</v>
      </c>
    </row>
    <row r="902" spans="1:5" x14ac:dyDescent="0.35">
      <c r="A902" s="1">
        <v>44366</v>
      </c>
      <c r="B902" s="2">
        <v>44366</v>
      </c>
      <c r="C902">
        <v>-0.5</v>
      </c>
      <c r="D902">
        <v>0.25</v>
      </c>
      <c r="E902" s="4">
        <v>0</v>
      </c>
    </row>
    <row r="903" spans="1:5" x14ac:dyDescent="0.35">
      <c r="A903" s="1">
        <v>44367</v>
      </c>
      <c r="B903" s="2">
        <v>44367</v>
      </c>
      <c r="C903">
        <v>-0.5</v>
      </c>
      <c r="D903">
        <v>0.25</v>
      </c>
      <c r="E903" s="4">
        <v>0</v>
      </c>
    </row>
    <row r="904" spans="1:5" x14ac:dyDescent="0.35">
      <c r="A904" s="1">
        <v>44368</v>
      </c>
      <c r="B904" s="2">
        <v>44368</v>
      </c>
      <c r="C904">
        <v>-0.5</v>
      </c>
      <c r="D904">
        <v>0.25</v>
      </c>
      <c r="E904" s="4">
        <v>0</v>
      </c>
    </row>
    <row r="905" spans="1:5" x14ac:dyDescent="0.35">
      <c r="A905" s="1">
        <v>44369</v>
      </c>
      <c r="B905" s="2">
        <v>44369</v>
      </c>
      <c r="C905">
        <v>-0.5</v>
      </c>
      <c r="D905">
        <v>0.25</v>
      </c>
      <c r="E905" s="4">
        <v>0</v>
      </c>
    </row>
    <row r="906" spans="1:5" x14ac:dyDescent="0.35">
      <c r="A906" s="1">
        <v>44370</v>
      </c>
      <c r="B906" s="2">
        <v>44370</v>
      </c>
      <c r="C906">
        <v>-0.5</v>
      </c>
      <c r="D906">
        <v>0.25</v>
      </c>
      <c r="E906" s="4">
        <v>0</v>
      </c>
    </row>
    <row r="907" spans="1:5" x14ac:dyDescent="0.35">
      <c r="A907" s="1">
        <v>44371</v>
      </c>
      <c r="B907" s="2">
        <v>44371</v>
      </c>
      <c r="C907">
        <v>-0.5</v>
      </c>
      <c r="D907">
        <v>0.25</v>
      </c>
      <c r="E907" s="4">
        <v>0</v>
      </c>
    </row>
    <row r="908" spans="1:5" x14ac:dyDescent="0.35">
      <c r="A908" s="1">
        <v>44372</v>
      </c>
      <c r="B908" s="2">
        <v>44372</v>
      </c>
      <c r="C908">
        <v>-0.5</v>
      </c>
      <c r="D908">
        <v>0.25</v>
      </c>
      <c r="E908" s="4">
        <v>0</v>
      </c>
    </row>
    <row r="909" spans="1:5" x14ac:dyDescent="0.35">
      <c r="A909" s="1">
        <v>44373</v>
      </c>
      <c r="B909" s="2">
        <v>44373</v>
      </c>
      <c r="C909">
        <v>-0.5</v>
      </c>
      <c r="D909">
        <v>0.25</v>
      </c>
      <c r="E909" s="4">
        <v>0</v>
      </c>
    </row>
    <row r="910" spans="1:5" x14ac:dyDescent="0.35">
      <c r="A910" s="1">
        <v>44374</v>
      </c>
      <c r="B910" s="2">
        <v>44374</v>
      </c>
      <c r="C910">
        <v>-0.5</v>
      </c>
      <c r="D910">
        <v>0.25</v>
      </c>
      <c r="E910" s="4">
        <v>0</v>
      </c>
    </row>
    <row r="911" spans="1:5" x14ac:dyDescent="0.35">
      <c r="A911" s="1">
        <v>44375</v>
      </c>
      <c r="B911" s="2">
        <v>44375</v>
      </c>
      <c r="C911">
        <v>-0.5</v>
      </c>
      <c r="D911">
        <v>0.25</v>
      </c>
      <c r="E911" s="4">
        <v>0</v>
      </c>
    </row>
    <row r="912" spans="1:5" x14ac:dyDescent="0.35">
      <c r="A912" s="1">
        <v>44376</v>
      </c>
      <c r="B912" s="2">
        <v>44376</v>
      </c>
      <c r="C912">
        <v>-0.5</v>
      </c>
      <c r="D912">
        <v>0.25</v>
      </c>
      <c r="E912" s="4">
        <v>0</v>
      </c>
    </row>
    <row r="913" spans="1:5" x14ac:dyDescent="0.35">
      <c r="A913" s="1">
        <v>44377</v>
      </c>
      <c r="B913" s="2">
        <v>44377</v>
      </c>
      <c r="C913">
        <v>-0.5</v>
      </c>
      <c r="D913">
        <v>0.25</v>
      </c>
      <c r="E913" s="4">
        <v>0</v>
      </c>
    </row>
    <row r="914" spans="1:5" x14ac:dyDescent="0.35">
      <c r="A914" s="1">
        <v>44378</v>
      </c>
      <c r="B914" s="2">
        <v>44378</v>
      </c>
      <c r="C914">
        <v>-0.5</v>
      </c>
      <c r="D914">
        <v>0.25</v>
      </c>
      <c r="E914" s="4">
        <v>0</v>
      </c>
    </row>
    <row r="915" spans="1:5" x14ac:dyDescent="0.35">
      <c r="A915" s="1">
        <v>44379</v>
      </c>
      <c r="B915" s="2">
        <v>44379</v>
      </c>
      <c r="C915">
        <v>-0.5</v>
      </c>
      <c r="D915">
        <v>0.25</v>
      </c>
      <c r="E915" s="4">
        <v>0</v>
      </c>
    </row>
    <row r="916" spans="1:5" x14ac:dyDescent="0.35">
      <c r="A916" s="1">
        <v>44380</v>
      </c>
      <c r="B916" s="2">
        <v>44380</v>
      </c>
      <c r="C916">
        <v>-0.5</v>
      </c>
      <c r="D916">
        <v>0.25</v>
      </c>
      <c r="E916" s="4">
        <v>0</v>
      </c>
    </row>
    <row r="917" spans="1:5" x14ac:dyDescent="0.35">
      <c r="A917" s="1">
        <v>44381</v>
      </c>
      <c r="B917" s="2">
        <v>44381</v>
      </c>
      <c r="C917">
        <v>-0.5</v>
      </c>
      <c r="D917">
        <v>0.25</v>
      </c>
      <c r="E917" s="4">
        <v>0</v>
      </c>
    </row>
    <row r="918" spans="1:5" x14ac:dyDescent="0.35">
      <c r="A918" s="1">
        <v>44382</v>
      </c>
      <c r="B918" s="2">
        <v>44382</v>
      </c>
      <c r="C918">
        <v>-0.5</v>
      </c>
      <c r="D918">
        <v>0.25</v>
      </c>
      <c r="E918" s="4">
        <v>0</v>
      </c>
    </row>
    <row r="919" spans="1:5" x14ac:dyDescent="0.35">
      <c r="A919" s="1">
        <v>44383</v>
      </c>
      <c r="B919" s="2">
        <v>44383</v>
      </c>
      <c r="C919">
        <v>-0.5</v>
      </c>
      <c r="D919">
        <v>0.25</v>
      </c>
      <c r="E919" s="4">
        <v>0</v>
      </c>
    </row>
    <row r="920" spans="1:5" x14ac:dyDescent="0.35">
      <c r="A920" s="1">
        <v>44384</v>
      </c>
      <c r="B920" s="2">
        <v>44384</v>
      </c>
      <c r="C920">
        <v>-0.5</v>
      </c>
      <c r="D920">
        <v>0.25</v>
      </c>
      <c r="E920" s="4">
        <v>0</v>
      </c>
    </row>
    <row r="921" spans="1:5" x14ac:dyDescent="0.35">
      <c r="A921" s="1">
        <v>44385</v>
      </c>
      <c r="B921" s="2">
        <v>44385</v>
      </c>
      <c r="C921">
        <v>-0.5</v>
      </c>
      <c r="D921">
        <v>0.25</v>
      </c>
      <c r="E921" s="4">
        <v>0</v>
      </c>
    </row>
    <row r="922" spans="1:5" x14ac:dyDescent="0.35">
      <c r="A922" s="1">
        <v>44386</v>
      </c>
      <c r="B922" s="2">
        <v>44386</v>
      </c>
      <c r="C922">
        <v>-0.5</v>
      </c>
      <c r="D922">
        <v>0.25</v>
      </c>
      <c r="E922" s="4">
        <v>0</v>
      </c>
    </row>
    <row r="923" spans="1:5" x14ac:dyDescent="0.35">
      <c r="A923" s="1">
        <v>44387</v>
      </c>
      <c r="B923" s="2">
        <v>44387</v>
      </c>
      <c r="C923">
        <v>-0.5</v>
      </c>
      <c r="D923">
        <v>0.25</v>
      </c>
      <c r="E923" s="4">
        <v>0</v>
      </c>
    </row>
    <row r="924" spans="1:5" x14ac:dyDescent="0.35">
      <c r="A924" s="1">
        <v>44388</v>
      </c>
      <c r="B924" s="2">
        <v>44388</v>
      </c>
      <c r="C924">
        <v>-0.5</v>
      </c>
      <c r="D924">
        <v>0.25</v>
      </c>
      <c r="E924" s="4">
        <v>0</v>
      </c>
    </row>
    <row r="925" spans="1:5" x14ac:dyDescent="0.35">
      <c r="A925" s="1">
        <v>44389</v>
      </c>
      <c r="B925" s="2">
        <v>44389</v>
      </c>
      <c r="C925">
        <v>-0.5</v>
      </c>
      <c r="D925">
        <v>0.25</v>
      </c>
      <c r="E925" s="4">
        <v>0</v>
      </c>
    </row>
    <row r="926" spans="1:5" x14ac:dyDescent="0.35">
      <c r="A926" s="1">
        <v>44390</v>
      </c>
      <c r="B926" s="2">
        <v>44390</v>
      </c>
      <c r="C926">
        <v>-0.5</v>
      </c>
      <c r="D926">
        <v>0.25</v>
      </c>
      <c r="E926" s="4">
        <v>0</v>
      </c>
    </row>
    <row r="927" spans="1:5" x14ac:dyDescent="0.35">
      <c r="A927" s="1">
        <v>44391</v>
      </c>
      <c r="B927" s="2">
        <v>44391</v>
      </c>
      <c r="C927">
        <v>-0.5</v>
      </c>
      <c r="D927">
        <v>0.25</v>
      </c>
      <c r="E927" s="4">
        <v>0</v>
      </c>
    </row>
    <row r="928" spans="1:5" x14ac:dyDescent="0.35">
      <c r="A928" s="1">
        <v>44392</v>
      </c>
      <c r="B928" s="2">
        <v>44392</v>
      </c>
      <c r="C928">
        <v>-0.5</v>
      </c>
      <c r="D928">
        <v>0.25</v>
      </c>
      <c r="E928" s="4">
        <v>0</v>
      </c>
    </row>
    <row r="929" spans="1:5" x14ac:dyDescent="0.35">
      <c r="A929" s="1">
        <v>44393</v>
      </c>
      <c r="B929" s="2">
        <v>44393</v>
      </c>
      <c r="C929">
        <v>-0.5</v>
      </c>
      <c r="D929">
        <v>0.25</v>
      </c>
      <c r="E929" s="4">
        <v>0</v>
      </c>
    </row>
    <row r="930" spans="1:5" x14ac:dyDescent="0.35">
      <c r="A930" s="1">
        <v>44394</v>
      </c>
      <c r="B930" s="2">
        <v>44394</v>
      </c>
      <c r="C930">
        <v>-0.5</v>
      </c>
      <c r="D930">
        <v>0.25</v>
      </c>
      <c r="E930" s="4">
        <v>0</v>
      </c>
    </row>
    <row r="931" spans="1:5" x14ac:dyDescent="0.35">
      <c r="A931" s="1">
        <v>44395</v>
      </c>
      <c r="B931" s="2">
        <v>44395</v>
      </c>
      <c r="C931">
        <v>-0.5</v>
      </c>
      <c r="D931">
        <v>0.25</v>
      </c>
      <c r="E931" s="4">
        <v>0</v>
      </c>
    </row>
    <row r="932" spans="1:5" x14ac:dyDescent="0.35">
      <c r="A932" s="1">
        <v>44396</v>
      </c>
      <c r="B932" s="2">
        <v>44396</v>
      </c>
      <c r="C932">
        <v>-0.5</v>
      </c>
      <c r="D932">
        <v>0.25</v>
      </c>
      <c r="E932" s="4">
        <v>0</v>
      </c>
    </row>
    <row r="933" spans="1:5" x14ac:dyDescent="0.35">
      <c r="A933" s="1">
        <v>44397</v>
      </c>
      <c r="B933" s="2">
        <v>44397</v>
      </c>
      <c r="C933">
        <v>-0.5</v>
      </c>
      <c r="D933">
        <v>0.25</v>
      </c>
      <c r="E933" s="4">
        <v>0</v>
      </c>
    </row>
    <row r="934" spans="1:5" x14ac:dyDescent="0.35">
      <c r="A934" s="1">
        <v>44398</v>
      </c>
      <c r="B934" s="2">
        <v>44398</v>
      </c>
      <c r="C934">
        <v>-0.5</v>
      </c>
      <c r="D934">
        <v>0.25</v>
      </c>
      <c r="E934" s="4">
        <v>0</v>
      </c>
    </row>
    <row r="935" spans="1:5" x14ac:dyDescent="0.35">
      <c r="A935" s="1">
        <v>44399</v>
      </c>
      <c r="B935" s="2">
        <v>44399</v>
      </c>
      <c r="C935">
        <v>-0.5</v>
      </c>
      <c r="D935">
        <v>0.25</v>
      </c>
      <c r="E935" s="4">
        <v>0</v>
      </c>
    </row>
    <row r="936" spans="1:5" x14ac:dyDescent="0.35">
      <c r="A936" s="1">
        <v>44400</v>
      </c>
      <c r="B936" s="2">
        <v>44400</v>
      </c>
      <c r="C936">
        <v>-0.5</v>
      </c>
      <c r="D936">
        <v>0.25</v>
      </c>
      <c r="E936" s="4">
        <v>0</v>
      </c>
    </row>
    <row r="937" spans="1:5" x14ac:dyDescent="0.35">
      <c r="A937" s="1">
        <v>44401</v>
      </c>
      <c r="B937" s="2">
        <v>44401</v>
      </c>
      <c r="C937">
        <v>-0.5</v>
      </c>
      <c r="D937">
        <v>0.25</v>
      </c>
      <c r="E937" s="4">
        <v>0</v>
      </c>
    </row>
    <row r="938" spans="1:5" x14ac:dyDescent="0.35">
      <c r="A938" s="1">
        <v>44402</v>
      </c>
      <c r="B938" s="2">
        <v>44402</v>
      </c>
      <c r="C938">
        <v>-0.5</v>
      </c>
      <c r="D938">
        <v>0.25</v>
      </c>
      <c r="E938" s="4">
        <v>0</v>
      </c>
    </row>
    <row r="939" spans="1:5" x14ac:dyDescent="0.35">
      <c r="A939" s="1">
        <v>44403</v>
      </c>
      <c r="B939" s="2">
        <v>44403</v>
      </c>
      <c r="C939">
        <v>-0.5</v>
      </c>
      <c r="D939">
        <v>0.25</v>
      </c>
      <c r="E939" s="4">
        <v>0</v>
      </c>
    </row>
    <row r="940" spans="1:5" x14ac:dyDescent="0.35">
      <c r="A940" s="1">
        <v>44404</v>
      </c>
      <c r="B940" s="2">
        <v>44404</v>
      </c>
      <c r="C940">
        <v>-0.5</v>
      </c>
      <c r="D940">
        <v>0.25</v>
      </c>
      <c r="E940" s="4">
        <v>0</v>
      </c>
    </row>
    <row r="941" spans="1:5" x14ac:dyDescent="0.35">
      <c r="A941" s="1">
        <v>44405</v>
      </c>
      <c r="B941" s="2">
        <v>44405</v>
      </c>
      <c r="C941">
        <v>-0.5</v>
      </c>
      <c r="D941">
        <v>0.25</v>
      </c>
      <c r="E941" s="4">
        <v>0</v>
      </c>
    </row>
    <row r="942" spans="1:5" x14ac:dyDescent="0.35">
      <c r="A942" s="1">
        <v>44406</v>
      </c>
      <c r="B942" s="2">
        <v>44406</v>
      </c>
      <c r="C942">
        <v>-0.5</v>
      </c>
      <c r="D942">
        <v>0.25</v>
      </c>
      <c r="E942" s="4">
        <v>0</v>
      </c>
    </row>
    <row r="943" spans="1:5" x14ac:dyDescent="0.35">
      <c r="A943" s="1">
        <v>44407</v>
      </c>
      <c r="B943" s="2">
        <v>44407</v>
      </c>
      <c r="C943">
        <v>-0.5</v>
      </c>
      <c r="D943">
        <v>0.25</v>
      </c>
      <c r="E943" s="4">
        <v>0</v>
      </c>
    </row>
    <row r="944" spans="1:5" x14ac:dyDescent="0.35">
      <c r="A944" s="1">
        <v>44408</v>
      </c>
      <c r="B944" s="2">
        <v>44408</v>
      </c>
      <c r="C944">
        <v>-0.5</v>
      </c>
      <c r="D944">
        <v>0.25</v>
      </c>
      <c r="E944" s="4">
        <v>0</v>
      </c>
    </row>
    <row r="945" spans="1:5" x14ac:dyDescent="0.35">
      <c r="A945" s="1">
        <v>44409</v>
      </c>
      <c r="B945" s="2">
        <v>44409</v>
      </c>
      <c r="C945">
        <v>-0.5</v>
      </c>
      <c r="D945">
        <v>0.25</v>
      </c>
      <c r="E945" s="4">
        <v>0</v>
      </c>
    </row>
    <row r="946" spans="1:5" x14ac:dyDescent="0.35">
      <c r="A946" s="1">
        <v>44410</v>
      </c>
      <c r="B946" s="2">
        <v>44410</v>
      </c>
      <c r="C946">
        <v>-0.5</v>
      </c>
      <c r="D946">
        <v>0.25</v>
      </c>
      <c r="E946" s="4">
        <v>0</v>
      </c>
    </row>
    <row r="947" spans="1:5" x14ac:dyDescent="0.35">
      <c r="A947" s="1">
        <v>44411</v>
      </c>
      <c r="B947" s="2">
        <v>44411</v>
      </c>
      <c r="C947">
        <v>-0.5</v>
      </c>
      <c r="D947">
        <v>0.25</v>
      </c>
      <c r="E947" s="4">
        <v>0</v>
      </c>
    </row>
    <row r="948" spans="1:5" x14ac:dyDescent="0.35">
      <c r="A948" s="1">
        <v>44412</v>
      </c>
      <c r="B948" s="2">
        <v>44412</v>
      </c>
      <c r="C948">
        <v>-0.5</v>
      </c>
      <c r="D948">
        <v>0.25</v>
      </c>
      <c r="E948" s="4">
        <v>0</v>
      </c>
    </row>
    <row r="949" spans="1:5" x14ac:dyDescent="0.35">
      <c r="A949" s="1">
        <v>44413</v>
      </c>
      <c r="B949" s="2">
        <v>44413</v>
      </c>
      <c r="C949">
        <v>-0.5</v>
      </c>
      <c r="D949">
        <v>0.25</v>
      </c>
      <c r="E949" s="4">
        <v>0</v>
      </c>
    </row>
    <row r="950" spans="1:5" x14ac:dyDescent="0.35">
      <c r="A950" s="1">
        <v>44414</v>
      </c>
      <c r="B950" s="2">
        <v>44414</v>
      </c>
      <c r="C950">
        <v>-0.5</v>
      </c>
      <c r="D950">
        <v>0.25</v>
      </c>
      <c r="E950" s="4">
        <v>0</v>
      </c>
    </row>
    <row r="951" spans="1:5" x14ac:dyDescent="0.35">
      <c r="A951" s="1">
        <v>44415</v>
      </c>
      <c r="B951" s="2">
        <v>44415</v>
      </c>
      <c r="C951">
        <v>-0.5</v>
      </c>
      <c r="D951">
        <v>0.25</v>
      </c>
      <c r="E951" s="4">
        <v>0</v>
      </c>
    </row>
    <row r="952" spans="1:5" x14ac:dyDescent="0.35">
      <c r="A952" s="1">
        <v>44416</v>
      </c>
      <c r="B952" s="2">
        <v>44416</v>
      </c>
      <c r="C952">
        <v>-0.5</v>
      </c>
      <c r="D952">
        <v>0.25</v>
      </c>
      <c r="E952" s="4">
        <v>0</v>
      </c>
    </row>
    <row r="953" spans="1:5" x14ac:dyDescent="0.35">
      <c r="A953" s="1">
        <v>44417</v>
      </c>
      <c r="B953" s="2">
        <v>44417</v>
      </c>
      <c r="C953">
        <v>-0.5</v>
      </c>
      <c r="D953">
        <v>0.25</v>
      </c>
      <c r="E953" s="4">
        <v>0</v>
      </c>
    </row>
    <row r="954" spans="1:5" x14ac:dyDescent="0.35">
      <c r="A954" s="1">
        <v>44418</v>
      </c>
      <c r="B954" s="2">
        <v>44418</v>
      </c>
      <c r="C954">
        <v>-0.5</v>
      </c>
      <c r="D954">
        <v>0.25</v>
      </c>
      <c r="E954" s="4">
        <v>0</v>
      </c>
    </row>
    <row r="955" spans="1:5" x14ac:dyDescent="0.35">
      <c r="A955" s="1">
        <v>44419</v>
      </c>
      <c r="B955" s="2">
        <v>44419</v>
      </c>
      <c r="C955">
        <v>-0.5</v>
      </c>
      <c r="D955">
        <v>0.25</v>
      </c>
      <c r="E955" s="4">
        <v>0</v>
      </c>
    </row>
    <row r="956" spans="1:5" x14ac:dyDescent="0.35">
      <c r="A956" s="1">
        <v>44420</v>
      </c>
      <c r="B956" s="2">
        <v>44420</v>
      </c>
      <c r="C956">
        <v>-0.5</v>
      </c>
      <c r="D956">
        <v>0.25</v>
      </c>
      <c r="E956" s="4">
        <v>0</v>
      </c>
    </row>
    <row r="957" spans="1:5" x14ac:dyDescent="0.35">
      <c r="A957" s="1">
        <v>44421</v>
      </c>
      <c r="B957" s="2">
        <v>44421</v>
      </c>
      <c r="C957">
        <v>-0.5</v>
      </c>
      <c r="D957">
        <v>0.25</v>
      </c>
      <c r="E957" s="4">
        <v>0</v>
      </c>
    </row>
    <row r="958" spans="1:5" x14ac:dyDescent="0.35">
      <c r="A958" s="1">
        <v>44422</v>
      </c>
      <c r="B958" s="2">
        <v>44422</v>
      </c>
      <c r="C958">
        <v>-0.5</v>
      </c>
      <c r="D958">
        <v>0.25</v>
      </c>
      <c r="E958" s="4">
        <v>0</v>
      </c>
    </row>
    <row r="959" spans="1:5" x14ac:dyDescent="0.35">
      <c r="A959" s="1">
        <v>44423</v>
      </c>
      <c r="B959" s="2">
        <v>44423</v>
      </c>
      <c r="C959">
        <v>-0.5</v>
      </c>
      <c r="D959">
        <v>0.25</v>
      </c>
      <c r="E959" s="4">
        <v>0</v>
      </c>
    </row>
    <row r="960" spans="1:5" x14ac:dyDescent="0.35">
      <c r="A960" s="1">
        <v>44424</v>
      </c>
      <c r="B960" s="2">
        <v>44424</v>
      </c>
      <c r="C960">
        <v>-0.5</v>
      </c>
      <c r="D960">
        <v>0.25</v>
      </c>
      <c r="E960" s="4">
        <v>0</v>
      </c>
    </row>
    <row r="961" spans="1:5" x14ac:dyDescent="0.35">
      <c r="A961" s="1">
        <v>44425</v>
      </c>
      <c r="B961" s="2">
        <v>44425</v>
      </c>
      <c r="C961">
        <v>-0.5</v>
      </c>
      <c r="D961">
        <v>0.25</v>
      </c>
      <c r="E961" s="4">
        <v>0</v>
      </c>
    </row>
    <row r="962" spans="1:5" x14ac:dyDescent="0.35">
      <c r="A962" s="1">
        <v>44426</v>
      </c>
      <c r="B962" s="2">
        <v>44426</v>
      </c>
      <c r="C962">
        <v>-0.5</v>
      </c>
      <c r="D962">
        <v>0.25</v>
      </c>
      <c r="E962" s="4">
        <v>0</v>
      </c>
    </row>
    <row r="963" spans="1:5" x14ac:dyDescent="0.35">
      <c r="A963" s="1">
        <v>44427</v>
      </c>
      <c r="B963" s="2">
        <v>44427</v>
      </c>
      <c r="C963">
        <v>-0.5</v>
      </c>
      <c r="D963">
        <v>0.25</v>
      </c>
      <c r="E963" s="4">
        <v>0</v>
      </c>
    </row>
    <row r="964" spans="1:5" x14ac:dyDescent="0.35">
      <c r="A964" s="1">
        <v>44428</v>
      </c>
      <c r="B964" s="2">
        <v>44428</v>
      </c>
      <c r="C964">
        <v>-0.5</v>
      </c>
      <c r="D964">
        <v>0.25</v>
      </c>
      <c r="E964" s="4">
        <v>0</v>
      </c>
    </row>
    <row r="965" spans="1:5" x14ac:dyDescent="0.35">
      <c r="A965" s="1">
        <v>44429</v>
      </c>
      <c r="B965" s="2">
        <v>44429</v>
      </c>
      <c r="C965">
        <v>-0.5</v>
      </c>
      <c r="D965">
        <v>0.25</v>
      </c>
      <c r="E965" s="4">
        <v>0</v>
      </c>
    </row>
    <row r="966" spans="1:5" x14ac:dyDescent="0.35">
      <c r="A966" s="1">
        <v>44430</v>
      </c>
      <c r="B966" s="2">
        <v>44430</v>
      </c>
      <c r="C966">
        <v>-0.5</v>
      </c>
      <c r="D966">
        <v>0.25</v>
      </c>
      <c r="E966" s="4">
        <v>0</v>
      </c>
    </row>
    <row r="967" spans="1:5" x14ac:dyDescent="0.35">
      <c r="A967" s="1">
        <v>44431</v>
      </c>
      <c r="B967" s="2">
        <v>44431</v>
      </c>
      <c r="C967">
        <v>-0.5</v>
      </c>
      <c r="D967">
        <v>0.25</v>
      </c>
      <c r="E967" s="4">
        <v>0</v>
      </c>
    </row>
    <row r="968" spans="1:5" x14ac:dyDescent="0.35">
      <c r="A968" s="1">
        <v>44432</v>
      </c>
      <c r="B968" s="2">
        <v>44432</v>
      </c>
      <c r="C968">
        <v>-0.5</v>
      </c>
      <c r="D968">
        <v>0.25</v>
      </c>
      <c r="E968" s="4">
        <v>0</v>
      </c>
    </row>
    <row r="969" spans="1:5" x14ac:dyDescent="0.35">
      <c r="A969" s="1">
        <v>44433</v>
      </c>
      <c r="B969" s="2">
        <v>44433</v>
      </c>
      <c r="C969">
        <v>-0.5</v>
      </c>
      <c r="D969">
        <v>0.25</v>
      </c>
      <c r="E969" s="4">
        <v>0</v>
      </c>
    </row>
    <row r="970" spans="1:5" x14ac:dyDescent="0.35">
      <c r="A970" s="1">
        <v>44434</v>
      </c>
      <c r="B970" s="2">
        <v>44434</v>
      </c>
      <c r="C970">
        <v>-0.5</v>
      </c>
      <c r="D970">
        <v>0.25</v>
      </c>
      <c r="E970" s="4">
        <v>0</v>
      </c>
    </row>
    <row r="971" spans="1:5" x14ac:dyDescent="0.35">
      <c r="A971" s="1">
        <v>44435</v>
      </c>
      <c r="B971" s="2">
        <v>44435</v>
      </c>
      <c r="C971">
        <v>-0.5</v>
      </c>
      <c r="D971">
        <v>0.25</v>
      </c>
      <c r="E971" s="4">
        <v>0</v>
      </c>
    </row>
    <row r="972" spans="1:5" x14ac:dyDescent="0.35">
      <c r="A972" s="1">
        <v>44436</v>
      </c>
      <c r="B972" s="2">
        <v>44436</v>
      </c>
      <c r="C972">
        <v>-0.5</v>
      </c>
      <c r="D972">
        <v>0.25</v>
      </c>
      <c r="E972" s="4">
        <v>0</v>
      </c>
    </row>
    <row r="973" spans="1:5" x14ac:dyDescent="0.35">
      <c r="A973" s="1">
        <v>44437</v>
      </c>
      <c r="B973" s="2">
        <v>44437</v>
      </c>
      <c r="C973">
        <v>-0.5</v>
      </c>
      <c r="D973">
        <v>0.25</v>
      </c>
      <c r="E973" s="4">
        <v>0</v>
      </c>
    </row>
    <row r="974" spans="1:5" x14ac:dyDescent="0.35">
      <c r="A974" s="1">
        <v>44438</v>
      </c>
      <c r="B974" s="2">
        <v>44438</v>
      </c>
      <c r="C974">
        <v>-0.5</v>
      </c>
      <c r="D974">
        <v>0.25</v>
      </c>
      <c r="E974" s="4">
        <v>0</v>
      </c>
    </row>
    <row r="975" spans="1:5" x14ac:dyDescent="0.35">
      <c r="A975" s="1">
        <v>44439</v>
      </c>
      <c r="B975" s="2">
        <v>44439</v>
      </c>
      <c r="C975">
        <v>-0.5</v>
      </c>
      <c r="D975">
        <v>0.25</v>
      </c>
      <c r="E975" s="4">
        <v>0</v>
      </c>
    </row>
    <row r="976" spans="1:5" x14ac:dyDescent="0.35">
      <c r="A976" s="1">
        <v>44440</v>
      </c>
      <c r="B976" s="2">
        <v>44440</v>
      </c>
      <c r="C976">
        <v>-0.5</v>
      </c>
      <c r="D976">
        <v>0.25</v>
      </c>
      <c r="E976" s="4">
        <v>0</v>
      </c>
    </row>
    <row r="977" spans="1:5" x14ac:dyDescent="0.35">
      <c r="A977" s="1">
        <v>44441</v>
      </c>
      <c r="B977" s="2">
        <v>44441</v>
      </c>
      <c r="C977">
        <v>-0.5</v>
      </c>
      <c r="D977">
        <v>0.25</v>
      </c>
      <c r="E977" s="4">
        <v>0</v>
      </c>
    </row>
    <row r="978" spans="1:5" x14ac:dyDescent="0.35">
      <c r="A978" s="1">
        <v>44442</v>
      </c>
      <c r="B978" s="2">
        <v>44442</v>
      </c>
      <c r="C978">
        <v>-0.5</v>
      </c>
      <c r="D978">
        <v>0.25</v>
      </c>
      <c r="E978" s="4">
        <v>0</v>
      </c>
    </row>
    <row r="979" spans="1:5" x14ac:dyDescent="0.35">
      <c r="A979" s="1">
        <v>44443</v>
      </c>
      <c r="B979" s="2">
        <v>44443</v>
      </c>
      <c r="C979">
        <v>-0.5</v>
      </c>
      <c r="D979">
        <v>0.25</v>
      </c>
      <c r="E979" s="4">
        <v>0</v>
      </c>
    </row>
    <row r="980" spans="1:5" x14ac:dyDescent="0.35">
      <c r="A980" s="1">
        <v>44444</v>
      </c>
      <c r="B980" s="2">
        <v>44444</v>
      </c>
      <c r="C980">
        <v>-0.5</v>
      </c>
      <c r="D980">
        <v>0.25</v>
      </c>
      <c r="E980" s="4">
        <v>0</v>
      </c>
    </row>
    <row r="981" spans="1:5" x14ac:dyDescent="0.35">
      <c r="A981" s="1">
        <v>44445</v>
      </c>
      <c r="B981" s="2">
        <v>44445</v>
      </c>
      <c r="C981">
        <v>-0.5</v>
      </c>
      <c r="D981">
        <v>0.25</v>
      </c>
      <c r="E981" s="4">
        <v>0</v>
      </c>
    </row>
    <row r="982" spans="1:5" x14ac:dyDescent="0.35">
      <c r="A982" s="1">
        <v>44446</v>
      </c>
      <c r="B982" s="2">
        <v>44446</v>
      </c>
      <c r="C982">
        <v>-0.5</v>
      </c>
      <c r="D982">
        <v>0.25</v>
      </c>
      <c r="E982" s="4">
        <v>0</v>
      </c>
    </row>
    <row r="983" spans="1:5" x14ac:dyDescent="0.35">
      <c r="A983" s="1">
        <v>44447</v>
      </c>
      <c r="B983" s="2">
        <v>44447</v>
      </c>
      <c r="C983">
        <v>-0.5</v>
      </c>
      <c r="D983">
        <v>0.25</v>
      </c>
      <c r="E983" s="4">
        <v>0</v>
      </c>
    </row>
    <row r="984" spans="1:5" x14ac:dyDescent="0.35">
      <c r="A984" s="1">
        <v>44448</v>
      </c>
      <c r="B984" s="2">
        <v>44448</v>
      </c>
      <c r="C984">
        <v>-0.5</v>
      </c>
      <c r="D984">
        <v>0.25</v>
      </c>
      <c r="E984" s="4">
        <v>0</v>
      </c>
    </row>
    <row r="985" spans="1:5" x14ac:dyDescent="0.35">
      <c r="A985" s="1">
        <v>44449</v>
      </c>
      <c r="B985" s="2">
        <v>44449</v>
      </c>
      <c r="C985">
        <v>-0.5</v>
      </c>
      <c r="D985">
        <v>0.25</v>
      </c>
      <c r="E985" s="4">
        <v>0</v>
      </c>
    </row>
    <row r="986" spans="1:5" x14ac:dyDescent="0.35">
      <c r="A986" s="1">
        <v>44450</v>
      </c>
      <c r="B986" s="2">
        <v>44450</v>
      </c>
      <c r="C986">
        <v>-0.5</v>
      </c>
      <c r="D986">
        <v>0.25</v>
      </c>
      <c r="E986" s="4">
        <v>0</v>
      </c>
    </row>
    <row r="987" spans="1:5" x14ac:dyDescent="0.35">
      <c r="A987" s="1">
        <v>44451</v>
      </c>
      <c r="B987" s="2">
        <v>44451</v>
      </c>
      <c r="C987">
        <v>-0.5</v>
      </c>
      <c r="D987">
        <v>0.25</v>
      </c>
      <c r="E987" s="4">
        <v>0</v>
      </c>
    </row>
    <row r="988" spans="1:5" x14ac:dyDescent="0.35">
      <c r="A988" s="1">
        <v>44452</v>
      </c>
      <c r="B988" s="2">
        <v>44452</v>
      </c>
      <c r="C988">
        <v>-0.5</v>
      </c>
      <c r="D988">
        <v>0.25</v>
      </c>
      <c r="E988" s="4">
        <v>0</v>
      </c>
    </row>
    <row r="989" spans="1:5" x14ac:dyDescent="0.35">
      <c r="A989" s="1">
        <v>44453</v>
      </c>
      <c r="B989" s="2">
        <v>44453</v>
      </c>
      <c r="C989">
        <v>-0.5</v>
      </c>
      <c r="D989">
        <v>0.25</v>
      </c>
      <c r="E989" s="4">
        <v>0</v>
      </c>
    </row>
    <row r="990" spans="1:5" x14ac:dyDescent="0.35">
      <c r="A990" s="1">
        <v>44454</v>
      </c>
      <c r="B990" s="2">
        <v>44454</v>
      </c>
      <c r="C990">
        <v>-0.5</v>
      </c>
      <c r="D990">
        <v>0.25</v>
      </c>
      <c r="E990" s="4">
        <v>0</v>
      </c>
    </row>
    <row r="991" spans="1:5" x14ac:dyDescent="0.35">
      <c r="A991" s="1">
        <v>44455</v>
      </c>
      <c r="B991" s="2">
        <v>44455</v>
      </c>
      <c r="C991">
        <v>-0.5</v>
      </c>
      <c r="D991">
        <v>0.25</v>
      </c>
      <c r="E991" s="4">
        <v>0</v>
      </c>
    </row>
    <row r="992" spans="1:5" x14ac:dyDescent="0.35">
      <c r="A992" s="1">
        <v>44456</v>
      </c>
      <c r="B992" s="2">
        <v>44456</v>
      </c>
      <c r="C992">
        <v>-0.5</v>
      </c>
      <c r="D992">
        <v>0.25</v>
      </c>
      <c r="E992" s="4">
        <v>0</v>
      </c>
    </row>
    <row r="993" spans="1:5" x14ac:dyDescent="0.35">
      <c r="A993" s="1">
        <v>44457</v>
      </c>
      <c r="B993" s="2">
        <v>44457</v>
      </c>
      <c r="C993">
        <v>-0.5</v>
      </c>
      <c r="D993">
        <v>0.25</v>
      </c>
      <c r="E993" s="4">
        <v>0</v>
      </c>
    </row>
    <row r="994" spans="1:5" x14ac:dyDescent="0.35">
      <c r="A994" s="1">
        <v>44458</v>
      </c>
      <c r="B994" s="2">
        <v>44458</v>
      </c>
      <c r="C994">
        <v>-0.5</v>
      </c>
      <c r="D994">
        <v>0.25</v>
      </c>
      <c r="E994" s="4">
        <v>0</v>
      </c>
    </row>
    <row r="995" spans="1:5" x14ac:dyDescent="0.35">
      <c r="A995" s="1">
        <v>44459</v>
      </c>
      <c r="B995" s="2">
        <v>44459</v>
      </c>
      <c r="C995">
        <v>-0.5</v>
      </c>
      <c r="D995">
        <v>0.25</v>
      </c>
      <c r="E995" s="4">
        <v>0</v>
      </c>
    </row>
    <row r="996" spans="1:5" x14ac:dyDescent="0.35">
      <c r="A996" s="1">
        <v>44460</v>
      </c>
      <c r="B996" s="2">
        <v>44460</v>
      </c>
      <c r="C996">
        <v>-0.5</v>
      </c>
      <c r="D996">
        <v>0.25</v>
      </c>
      <c r="E996" s="4">
        <v>0</v>
      </c>
    </row>
    <row r="997" spans="1:5" x14ac:dyDescent="0.35">
      <c r="A997" s="1">
        <v>44461</v>
      </c>
      <c r="B997" s="2">
        <v>44461</v>
      </c>
      <c r="C997">
        <v>-0.5</v>
      </c>
      <c r="D997">
        <v>0.25</v>
      </c>
      <c r="E997" s="4">
        <v>0</v>
      </c>
    </row>
    <row r="998" spans="1:5" x14ac:dyDescent="0.35">
      <c r="A998" s="1">
        <v>44462</v>
      </c>
      <c r="B998" s="2">
        <v>44462</v>
      </c>
      <c r="C998">
        <v>-0.5</v>
      </c>
      <c r="D998">
        <v>0.25</v>
      </c>
      <c r="E998" s="4">
        <v>0</v>
      </c>
    </row>
    <row r="999" spans="1:5" x14ac:dyDescent="0.35">
      <c r="A999" s="1">
        <v>44463</v>
      </c>
      <c r="B999" s="2">
        <v>44463</v>
      </c>
      <c r="C999">
        <v>-0.5</v>
      </c>
      <c r="D999">
        <v>0.25</v>
      </c>
      <c r="E999" s="4">
        <v>0</v>
      </c>
    </row>
    <row r="1000" spans="1:5" x14ac:dyDescent="0.35">
      <c r="A1000" s="1">
        <v>44464</v>
      </c>
      <c r="B1000" s="2">
        <v>44464</v>
      </c>
      <c r="C1000">
        <v>-0.5</v>
      </c>
      <c r="D1000">
        <v>0.25</v>
      </c>
      <c r="E1000" s="4">
        <v>0</v>
      </c>
    </row>
    <row r="1001" spans="1:5" x14ac:dyDescent="0.35">
      <c r="A1001" s="1">
        <v>44465</v>
      </c>
      <c r="B1001" s="2">
        <v>44465</v>
      </c>
      <c r="C1001">
        <v>-0.5</v>
      </c>
      <c r="D1001">
        <v>0.25</v>
      </c>
      <c r="E1001" s="4">
        <v>0</v>
      </c>
    </row>
    <row r="1002" spans="1:5" x14ac:dyDescent="0.35">
      <c r="A1002" s="1">
        <v>44466</v>
      </c>
      <c r="B1002" s="2">
        <v>44466</v>
      </c>
      <c r="C1002">
        <v>-0.5</v>
      </c>
      <c r="D1002">
        <v>0.25</v>
      </c>
      <c r="E1002" s="4">
        <v>0</v>
      </c>
    </row>
    <row r="1003" spans="1:5" x14ac:dyDescent="0.35">
      <c r="A1003" s="1">
        <v>44467</v>
      </c>
      <c r="B1003" s="2">
        <v>44467</v>
      </c>
      <c r="C1003">
        <v>-0.5</v>
      </c>
      <c r="D1003">
        <v>0.25</v>
      </c>
      <c r="E1003" s="4">
        <v>0</v>
      </c>
    </row>
    <row r="1004" spans="1:5" x14ac:dyDescent="0.35">
      <c r="A1004" s="1">
        <v>44468</v>
      </c>
      <c r="B1004" s="2">
        <v>44468</v>
      </c>
      <c r="C1004">
        <v>-0.5</v>
      </c>
      <c r="D1004">
        <v>0.25</v>
      </c>
      <c r="E1004" s="4">
        <v>0</v>
      </c>
    </row>
    <row r="1005" spans="1:5" x14ac:dyDescent="0.35">
      <c r="A1005" s="1">
        <v>44469</v>
      </c>
      <c r="B1005" s="2">
        <v>44469</v>
      </c>
      <c r="C1005">
        <v>-0.5</v>
      </c>
      <c r="D1005">
        <v>0.25</v>
      </c>
      <c r="E1005" s="4">
        <v>0</v>
      </c>
    </row>
    <row r="1006" spans="1:5" x14ac:dyDescent="0.35">
      <c r="A1006" s="1">
        <v>44470</v>
      </c>
      <c r="B1006" s="2">
        <v>44470</v>
      </c>
      <c r="C1006">
        <v>-0.5</v>
      </c>
      <c r="D1006">
        <v>0.25</v>
      </c>
      <c r="E1006" s="4">
        <v>0</v>
      </c>
    </row>
    <row r="1007" spans="1:5" x14ac:dyDescent="0.35">
      <c r="A1007" s="1">
        <v>44471</v>
      </c>
      <c r="B1007" s="2">
        <v>44471</v>
      </c>
      <c r="C1007">
        <v>-0.5</v>
      </c>
      <c r="D1007">
        <v>0.25</v>
      </c>
      <c r="E1007" s="4">
        <v>0</v>
      </c>
    </row>
    <row r="1008" spans="1:5" x14ac:dyDescent="0.35">
      <c r="A1008" s="1">
        <v>44472</v>
      </c>
      <c r="B1008" s="2">
        <v>44472</v>
      </c>
      <c r="C1008">
        <v>-0.5</v>
      </c>
      <c r="D1008">
        <v>0.25</v>
      </c>
      <c r="E1008" s="4">
        <v>0</v>
      </c>
    </row>
    <row r="1009" spans="1:5" x14ac:dyDescent="0.35">
      <c r="A1009" s="1">
        <v>44473</v>
      </c>
      <c r="B1009" s="2">
        <v>44473</v>
      </c>
      <c r="C1009">
        <v>-0.5</v>
      </c>
      <c r="D1009">
        <v>0.25</v>
      </c>
      <c r="E1009" s="4">
        <v>0</v>
      </c>
    </row>
    <row r="1010" spans="1:5" x14ac:dyDescent="0.35">
      <c r="A1010" s="1">
        <v>44474</v>
      </c>
      <c r="B1010" s="2">
        <v>44474</v>
      </c>
      <c r="C1010">
        <v>-0.5</v>
      </c>
      <c r="D1010">
        <v>0.25</v>
      </c>
      <c r="E1010" s="4">
        <v>0</v>
      </c>
    </row>
    <row r="1011" spans="1:5" x14ac:dyDescent="0.35">
      <c r="A1011" s="1">
        <v>44475</v>
      </c>
      <c r="B1011" s="2">
        <v>44475</v>
      </c>
      <c r="C1011">
        <v>-0.5</v>
      </c>
      <c r="D1011">
        <v>0.25</v>
      </c>
      <c r="E1011" s="4">
        <v>0</v>
      </c>
    </row>
    <row r="1012" spans="1:5" x14ac:dyDescent="0.35">
      <c r="A1012" s="1">
        <v>44476</v>
      </c>
      <c r="B1012" s="2">
        <v>44476</v>
      </c>
      <c r="C1012">
        <v>-0.5</v>
      </c>
      <c r="D1012">
        <v>0.25</v>
      </c>
      <c r="E1012" s="4">
        <v>0</v>
      </c>
    </row>
    <row r="1013" spans="1:5" x14ac:dyDescent="0.35">
      <c r="A1013" s="1">
        <v>44477</v>
      </c>
      <c r="B1013" s="2">
        <v>44477</v>
      </c>
      <c r="C1013">
        <v>-0.5</v>
      </c>
      <c r="D1013">
        <v>0.25</v>
      </c>
      <c r="E1013" s="4">
        <v>0</v>
      </c>
    </row>
    <row r="1014" spans="1:5" x14ac:dyDescent="0.35">
      <c r="A1014" s="1">
        <v>44478</v>
      </c>
      <c r="B1014" s="2">
        <v>44478</v>
      </c>
      <c r="C1014">
        <v>-0.5</v>
      </c>
      <c r="D1014">
        <v>0.25</v>
      </c>
      <c r="E1014" s="4">
        <v>0</v>
      </c>
    </row>
    <row r="1015" spans="1:5" x14ac:dyDescent="0.35">
      <c r="A1015" s="1">
        <v>44479</v>
      </c>
      <c r="B1015" s="2">
        <v>44479</v>
      </c>
      <c r="C1015">
        <v>-0.5</v>
      </c>
      <c r="D1015">
        <v>0.25</v>
      </c>
      <c r="E1015" s="4">
        <v>0</v>
      </c>
    </row>
    <row r="1016" spans="1:5" x14ac:dyDescent="0.35">
      <c r="A1016" s="1">
        <v>44480</v>
      </c>
      <c r="B1016" s="2">
        <v>44480</v>
      </c>
      <c r="C1016">
        <v>-0.5</v>
      </c>
      <c r="D1016">
        <v>0.25</v>
      </c>
      <c r="E1016" s="4">
        <v>0</v>
      </c>
    </row>
    <row r="1017" spans="1:5" x14ac:dyDescent="0.35">
      <c r="A1017" s="1">
        <v>44481</v>
      </c>
      <c r="B1017" s="2">
        <v>44481</v>
      </c>
      <c r="C1017">
        <v>-0.5</v>
      </c>
      <c r="D1017">
        <v>0.25</v>
      </c>
      <c r="E1017" s="4">
        <v>0</v>
      </c>
    </row>
    <row r="1018" spans="1:5" x14ac:dyDescent="0.35">
      <c r="A1018" s="1">
        <v>44482</v>
      </c>
      <c r="B1018" s="2">
        <v>44482</v>
      </c>
      <c r="C1018">
        <v>-0.5</v>
      </c>
      <c r="D1018">
        <v>0.25</v>
      </c>
      <c r="E1018" s="4">
        <v>0</v>
      </c>
    </row>
    <row r="1019" spans="1:5" x14ac:dyDescent="0.35">
      <c r="A1019" s="1">
        <v>44483</v>
      </c>
      <c r="B1019" s="2">
        <v>44483</v>
      </c>
      <c r="C1019">
        <v>-0.5</v>
      </c>
      <c r="D1019">
        <v>0.25</v>
      </c>
      <c r="E1019" s="4">
        <v>0</v>
      </c>
    </row>
    <row r="1020" spans="1:5" x14ac:dyDescent="0.35">
      <c r="A1020" s="1">
        <v>44484</v>
      </c>
      <c r="B1020" s="2">
        <v>44484</v>
      </c>
      <c r="C1020">
        <v>-0.5</v>
      </c>
      <c r="D1020">
        <v>0.25</v>
      </c>
      <c r="E1020" s="4">
        <v>0</v>
      </c>
    </row>
    <row r="1021" spans="1:5" x14ac:dyDescent="0.35">
      <c r="A1021" s="1">
        <v>44485</v>
      </c>
      <c r="B1021" s="2">
        <v>44485</v>
      </c>
      <c r="C1021">
        <v>-0.5</v>
      </c>
      <c r="D1021">
        <v>0.25</v>
      </c>
      <c r="E1021" s="4">
        <v>0</v>
      </c>
    </row>
    <row r="1022" spans="1:5" x14ac:dyDescent="0.35">
      <c r="A1022" s="1">
        <v>44486</v>
      </c>
      <c r="B1022" s="2">
        <v>44486</v>
      </c>
      <c r="C1022">
        <v>-0.5</v>
      </c>
      <c r="D1022">
        <v>0.25</v>
      </c>
      <c r="E1022" s="4">
        <v>0</v>
      </c>
    </row>
    <row r="1023" spans="1:5" x14ac:dyDescent="0.35">
      <c r="A1023" s="1">
        <v>44487</v>
      </c>
      <c r="B1023" s="2">
        <v>44487</v>
      </c>
      <c r="C1023">
        <v>-0.5</v>
      </c>
      <c r="D1023">
        <v>0.25</v>
      </c>
      <c r="E1023" s="4">
        <v>0</v>
      </c>
    </row>
    <row r="1024" spans="1:5" x14ac:dyDescent="0.35">
      <c r="A1024" s="1">
        <v>44488</v>
      </c>
      <c r="B1024" s="2">
        <v>44488</v>
      </c>
      <c r="C1024">
        <v>-0.5</v>
      </c>
      <c r="D1024">
        <v>0.25</v>
      </c>
      <c r="E1024" s="4">
        <v>0</v>
      </c>
    </row>
    <row r="1025" spans="1:5" x14ac:dyDescent="0.35">
      <c r="A1025" s="1">
        <v>44489</v>
      </c>
      <c r="B1025" s="2">
        <v>44489</v>
      </c>
      <c r="C1025">
        <v>-0.5</v>
      </c>
      <c r="D1025">
        <v>0.25</v>
      </c>
      <c r="E1025" s="4">
        <v>0</v>
      </c>
    </row>
    <row r="1026" spans="1:5" x14ac:dyDescent="0.35">
      <c r="A1026" s="1">
        <v>44490</v>
      </c>
      <c r="B1026" s="2">
        <v>44490</v>
      </c>
      <c r="C1026">
        <v>-0.5</v>
      </c>
      <c r="D1026">
        <v>0.25</v>
      </c>
      <c r="E1026" s="4">
        <v>0</v>
      </c>
    </row>
    <row r="1027" spans="1:5" x14ac:dyDescent="0.35">
      <c r="A1027" s="1">
        <v>44491</v>
      </c>
      <c r="B1027" s="2">
        <v>44491</v>
      </c>
      <c r="C1027">
        <v>-0.5</v>
      </c>
      <c r="D1027">
        <v>0.25</v>
      </c>
      <c r="E1027" s="4">
        <v>0</v>
      </c>
    </row>
    <row r="1028" spans="1:5" x14ac:dyDescent="0.35">
      <c r="A1028" s="1">
        <v>44492</v>
      </c>
      <c r="B1028" s="2">
        <v>44492</v>
      </c>
      <c r="C1028">
        <v>-0.5</v>
      </c>
      <c r="D1028">
        <v>0.25</v>
      </c>
      <c r="E1028" s="4">
        <v>0</v>
      </c>
    </row>
    <row r="1029" spans="1:5" x14ac:dyDescent="0.35">
      <c r="A1029" s="1">
        <v>44493</v>
      </c>
      <c r="B1029" s="2">
        <v>44493</v>
      </c>
      <c r="C1029">
        <v>-0.5</v>
      </c>
      <c r="D1029">
        <v>0.25</v>
      </c>
      <c r="E1029" s="4">
        <v>0</v>
      </c>
    </row>
    <row r="1030" spans="1:5" x14ac:dyDescent="0.35">
      <c r="A1030" s="1">
        <v>44494</v>
      </c>
      <c r="B1030" s="2">
        <v>44494</v>
      </c>
      <c r="C1030">
        <v>-0.5</v>
      </c>
      <c r="D1030">
        <v>0.25</v>
      </c>
      <c r="E1030" s="4">
        <v>0</v>
      </c>
    </row>
    <row r="1031" spans="1:5" x14ac:dyDescent="0.35">
      <c r="A1031" s="1">
        <v>44495</v>
      </c>
      <c r="B1031" s="2">
        <v>44495</v>
      </c>
      <c r="C1031">
        <v>-0.5</v>
      </c>
      <c r="D1031">
        <v>0.25</v>
      </c>
      <c r="E1031" s="4">
        <v>0</v>
      </c>
    </row>
    <row r="1032" spans="1:5" x14ac:dyDescent="0.35">
      <c r="A1032" s="1">
        <v>44496</v>
      </c>
      <c r="B1032" s="2">
        <v>44496</v>
      </c>
      <c r="C1032">
        <v>-0.5</v>
      </c>
      <c r="D1032">
        <v>0.25</v>
      </c>
      <c r="E1032" s="4">
        <v>0</v>
      </c>
    </row>
    <row r="1033" spans="1:5" x14ac:dyDescent="0.35">
      <c r="A1033" s="1">
        <v>44497</v>
      </c>
      <c r="B1033" s="2">
        <v>44497</v>
      </c>
      <c r="C1033">
        <v>-0.5</v>
      </c>
      <c r="D1033">
        <v>0.25</v>
      </c>
      <c r="E1033" s="4">
        <v>0</v>
      </c>
    </row>
    <row r="1034" spans="1:5" x14ac:dyDescent="0.35">
      <c r="A1034" s="1">
        <v>44498</v>
      </c>
      <c r="B1034" s="2">
        <v>44498</v>
      </c>
      <c r="C1034">
        <v>-0.5</v>
      </c>
      <c r="D1034">
        <v>0.25</v>
      </c>
      <c r="E1034" s="4">
        <v>0</v>
      </c>
    </row>
    <row r="1035" spans="1:5" x14ac:dyDescent="0.35">
      <c r="A1035" s="1">
        <v>44499</v>
      </c>
      <c r="B1035" s="2">
        <v>44499</v>
      </c>
      <c r="C1035">
        <v>-0.5</v>
      </c>
      <c r="D1035">
        <v>0.25</v>
      </c>
      <c r="E1035" s="4">
        <v>0</v>
      </c>
    </row>
    <row r="1036" spans="1:5" x14ac:dyDescent="0.35">
      <c r="A1036" s="1">
        <v>44500</v>
      </c>
      <c r="B1036" s="2">
        <v>44500</v>
      </c>
      <c r="C1036">
        <v>-0.5</v>
      </c>
      <c r="D1036">
        <v>0.25</v>
      </c>
      <c r="E1036" s="4">
        <v>0</v>
      </c>
    </row>
    <row r="1037" spans="1:5" x14ac:dyDescent="0.35">
      <c r="A1037" s="1">
        <v>44501</v>
      </c>
      <c r="B1037" s="2">
        <v>44501</v>
      </c>
      <c r="C1037">
        <v>-0.5</v>
      </c>
      <c r="D1037">
        <v>0.25</v>
      </c>
      <c r="E1037" s="4">
        <v>0</v>
      </c>
    </row>
    <row r="1038" spans="1:5" x14ac:dyDescent="0.35">
      <c r="A1038" s="1">
        <v>44502</v>
      </c>
      <c r="B1038" s="2">
        <v>44502</v>
      </c>
      <c r="C1038">
        <v>-0.5</v>
      </c>
      <c r="D1038">
        <v>0.25</v>
      </c>
      <c r="E1038" s="4">
        <v>0</v>
      </c>
    </row>
    <row r="1039" spans="1:5" x14ac:dyDescent="0.35">
      <c r="A1039" s="1">
        <v>44503</v>
      </c>
      <c r="B1039" s="2">
        <v>44503</v>
      </c>
      <c r="C1039">
        <v>-0.5</v>
      </c>
      <c r="D1039">
        <v>0.25</v>
      </c>
      <c r="E1039" s="4">
        <v>0</v>
      </c>
    </row>
    <row r="1040" spans="1:5" x14ac:dyDescent="0.35">
      <c r="A1040" s="1">
        <v>44504</v>
      </c>
      <c r="B1040" s="2">
        <v>44504</v>
      </c>
      <c r="C1040">
        <v>-0.5</v>
      </c>
      <c r="D1040">
        <v>0.25</v>
      </c>
      <c r="E1040" s="4">
        <v>0</v>
      </c>
    </row>
    <row r="1041" spans="1:5" x14ac:dyDescent="0.35">
      <c r="A1041" s="1">
        <v>44505</v>
      </c>
      <c r="B1041" s="2">
        <v>44505</v>
      </c>
      <c r="C1041">
        <v>-0.5</v>
      </c>
      <c r="D1041">
        <v>0.25</v>
      </c>
      <c r="E1041" s="4">
        <v>0</v>
      </c>
    </row>
    <row r="1042" spans="1:5" x14ac:dyDescent="0.35">
      <c r="A1042" s="1">
        <v>44506</v>
      </c>
      <c r="B1042" s="2">
        <v>44506</v>
      </c>
      <c r="C1042">
        <v>-0.5</v>
      </c>
      <c r="D1042">
        <v>0.25</v>
      </c>
      <c r="E1042" s="4">
        <v>0</v>
      </c>
    </row>
    <row r="1043" spans="1:5" x14ac:dyDescent="0.35">
      <c r="A1043" s="1">
        <v>44507</v>
      </c>
      <c r="B1043" s="2">
        <v>44507</v>
      </c>
      <c r="C1043">
        <v>-0.5</v>
      </c>
      <c r="D1043">
        <v>0.25</v>
      </c>
      <c r="E1043" s="4">
        <v>0</v>
      </c>
    </row>
    <row r="1044" spans="1:5" x14ac:dyDescent="0.35">
      <c r="A1044" s="1">
        <v>44508</v>
      </c>
      <c r="B1044" s="2">
        <v>44508</v>
      </c>
      <c r="C1044">
        <v>-0.5</v>
      </c>
      <c r="D1044">
        <v>0.25</v>
      </c>
      <c r="E1044" s="4">
        <v>0</v>
      </c>
    </row>
    <row r="1045" spans="1:5" x14ac:dyDescent="0.35">
      <c r="A1045" s="1">
        <v>44509</v>
      </c>
      <c r="B1045" s="2">
        <v>44509</v>
      </c>
      <c r="C1045">
        <v>-0.5</v>
      </c>
      <c r="D1045">
        <v>0.25</v>
      </c>
      <c r="E1045" s="4">
        <v>0</v>
      </c>
    </row>
    <row r="1046" spans="1:5" x14ac:dyDescent="0.35">
      <c r="A1046" s="1">
        <v>44510</v>
      </c>
      <c r="B1046" s="2">
        <v>44510</v>
      </c>
      <c r="C1046">
        <v>-0.5</v>
      </c>
      <c r="D1046">
        <v>0.25</v>
      </c>
      <c r="E1046" s="4">
        <v>0</v>
      </c>
    </row>
    <row r="1047" spans="1:5" x14ac:dyDescent="0.35">
      <c r="A1047" s="1">
        <v>44511</v>
      </c>
      <c r="B1047" s="2">
        <v>44511</v>
      </c>
      <c r="C1047">
        <v>-0.5</v>
      </c>
      <c r="D1047">
        <v>0.25</v>
      </c>
      <c r="E1047" s="4">
        <v>0</v>
      </c>
    </row>
    <row r="1048" spans="1:5" x14ac:dyDescent="0.35">
      <c r="A1048" s="1">
        <v>44512</v>
      </c>
      <c r="B1048" s="2">
        <v>44512</v>
      </c>
      <c r="C1048">
        <v>-0.5</v>
      </c>
      <c r="D1048">
        <v>0.25</v>
      </c>
      <c r="E1048" s="4">
        <v>0</v>
      </c>
    </row>
    <row r="1049" spans="1:5" x14ac:dyDescent="0.35">
      <c r="A1049" s="1">
        <v>44513</v>
      </c>
      <c r="B1049" s="2">
        <v>44513</v>
      </c>
      <c r="C1049">
        <v>-0.5</v>
      </c>
      <c r="D1049">
        <v>0.25</v>
      </c>
      <c r="E1049" s="4">
        <v>0</v>
      </c>
    </row>
    <row r="1050" spans="1:5" x14ac:dyDescent="0.35">
      <c r="A1050" s="1">
        <v>44514</v>
      </c>
      <c r="B1050" s="2">
        <v>44514</v>
      </c>
      <c r="C1050">
        <v>-0.5</v>
      </c>
      <c r="D1050">
        <v>0.25</v>
      </c>
      <c r="E1050" s="4">
        <v>0</v>
      </c>
    </row>
    <row r="1051" spans="1:5" x14ac:dyDescent="0.35">
      <c r="A1051" s="1">
        <v>44515</v>
      </c>
      <c r="B1051" s="2">
        <v>44515</v>
      </c>
      <c r="C1051">
        <v>-0.5</v>
      </c>
      <c r="D1051">
        <v>0.25</v>
      </c>
      <c r="E1051" s="4">
        <v>0</v>
      </c>
    </row>
    <row r="1052" spans="1:5" x14ac:dyDescent="0.35">
      <c r="A1052" s="1">
        <v>44516</v>
      </c>
      <c r="B1052" s="2">
        <v>44516</v>
      </c>
      <c r="C1052">
        <v>-0.5</v>
      </c>
      <c r="D1052">
        <v>0.25</v>
      </c>
      <c r="E1052" s="4">
        <v>0</v>
      </c>
    </row>
    <row r="1053" spans="1:5" x14ac:dyDescent="0.35">
      <c r="A1053" s="1">
        <v>44517</v>
      </c>
      <c r="B1053" s="2">
        <v>44517</v>
      </c>
      <c r="C1053">
        <v>-0.5</v>
      </c>
      <c r="D1053">
        <v>0.25</v>
      </c>
      <c r="E1053" s="4">
        <v>0</v>
      </c>
    </row>
    <row r="1054" spans="1:5" x14ac:dyDescent="0.35">
      <c r="A1054" s="1">
        <v>44518</v>
      </c>
      <c r="B1054" s="2">
        <v>44518</v>
      </c>
      <c r="C1054">
        <v>-0.5</v>
      </c>
      <c r="D1054">
        <v>0.25</v>
      </c>
      <c r="E1054" s="4">
        <v>0</v>
      </c>
    </row>
    <row r="1055" spans="1:5" x14ac:dyDescent="0.35">
      <c r="A1055" s="1">
        <v>44519</v>
      </c>
      <c r="B1055" s="2">
        <v>44519</v>
      </c>
      <c r="C1055">
        <v>-0.5</v>
      </c>
      <c r="D1055">
        <v>0.25</v>
      </c>
      <c r="E1055" s="4">
        <v>0</v>
      </c>
    </row>
    <row r="1056" spans="1:5" x14ac:dyDescent="0.35">
      <c r="A1056" s="1">
        <v>44520</v>
      </c>
      <c r="B1056" s="2">
        <v>44520</v>
      </c>
      <c r="C1056">
        <v>-0.5</v>
      </c>
      <c r="D1056">
        <v>0.25</v>
      </c>
      <c r="E1056" s="4">
        <v>0</v>
      </c>
    </row>
    <row r="1057" spans="1:5" x14ac:dyDescent="0.35">
      <c r="A1057" s="1">
        <v>44521</v>
      </c>
      <c r="B1057" s="2">
        <v>44521</v>
      </c>
      <c r="C1057">
        <v>-0.5</v>
      </c>
      <c r="D1057">
        <v>0.25</v>
      </c>
      <c r="E1057" s="4">
        <v>0</v>
      </c>
    </row>
    <row r="1058" spans="1:5" x14ac:dyDescent="0.35">
      <c r="A1058" s="1">
        <v>44522</v>
      </c>
      <c r="B1058" s="2">
        <v>44522</v>
      </c>
      <c r="C1058">
        <v>-0.5</v>
      </c>
      <c r="D1058">
        <v>0.25</v>
      </c>
      <c r="E1058" s="4">
        <v>0</v>
      </c>
    </row>
    <row r="1059" spans="1:5" x14ac:dyDescent="0.35">
      <c r="A1059" s="1">
        <v>44523</v>
      </c>
      <c r="B1059" s="2">
        <v>44523</v>
      </c>
      <c r="C1059">
        <v>-0.5</v>
      </c>
      <c r="D1059">
        <v>0.25</v>
      </c>
      <c r="E1059" s="4">
        <v>0</v>
      </c>
    </row>
    <row r="1060" spans="1:5" x14ac:dyDescent="0.35">
      <c r="A1060" s="1">
        <v>44524</v>
      </c>
      <c r="B1060" s="2">
        <v>44524</v>
      </c>
      <c r="C1060">
        <v>-0.5</v>
      </c>
      <c r="D1060">
        <v>0.25</v>
      </c>
      <c r="E1060" s="4">
        <v>0</v>
      </c>
    </row>
    <row r="1061" spans="1:5" x14ac:dyDescent="0.35">
      <c r="A1061" s="1">
        <v>44525</v>
      </c>
      <c r="B1061" s="2">
        <v>44525</v>
      </c>
      <c r="C1061">
        <v>-0.5</v>
      </c>
      <c r="D1061">
        <v>0.25</v>
      </c>
      <c r="E1061" s="4">
        <v>0</v>
      </c>
    </row>
    <row r="1062" spans="1:5" x14ac:dyDescent="0.35">
      <c r="A1062" s="1">
        <v>44526</v>
      </c>
      <c r="B1062" s="2">
        <v>44526</v>
      </c>
      <c r="C1062">
        <v>-0.5</v>
      </c>
      <c r="D1062">
        <v>0.25</v>
      </c>
      <c r="E1062" s="4">
        <v>0</v>
      </c>
    </row>
    <row r="1063" spans="1:5" x14ac:dyDescent="0.35">
      <c r="A1063" s="1">
        <v>44527</v>
      </c>
      <c r="B1063" s="2">
        <v>44527</v>
      </c>
      <c r="C1063">
        <v>-0.5</v>
      </c>
      <c r="D1063">
        <v>0.25</v>
      </c>
      <c r="E1063" s="4">
        <v>0</v>
      </c>
    </row>
    <row r="1064" spans="1:5" x14ac:dyDescent="0.35">
      <c r="A1064" s="1">
        <v>44528</v>
      </c>
      <c r="B1064" s="2">
        <v>44528</v>
      </c>
      <c r="C1064">
        <v>-0.5</v>
      </c>
      <c r="D1064">
        <v>0.25</v>
      </c>
      <c r="E1064" s="4">
        <v>0</v>
      </c>
    </row>
    <row r="1065" spans="1:5" x14ac:dyDescent="0.35">
      <c r="A1065" s="1">
        <v>44529</v>
      </c>
      <c r="B1065" s="2">
        <v>44529</v>
      </c>
      <c r="C1065">
        <v>-0.5</v>
      </c>
      <c r="D1065">
        <v>0.25</v>
      </c>
      <c r="E1065" s="4">
        <v>0</v>
      </c>
    </row>
    <row r="1066" spans="1:5" x14ac:dyDescent="0.35">
      <c r="A1066" s="1">
        <v>44530</v>
      </c>
      <c r="B1066" s="2">
        <v>44530</v>
      </c>
      <c r="C1066">
        <v>-0.5</v>
      </c>
      <c r="D1066">
        <v>0.25</v>
      </c>
      <c r="E1066" s="4">
        <v>0</v>
      </c>
    </row>
    <row r="1067" spans="1:5" x14ac:dyDescent="0.35">
      <c r="A1067" s="1">
        <v>44531</v>
      </c>
      <c r="B1067" s="2">
        <v>44531</v>
      </c>
      <c r="C1067">
        <v>-0.5</v>
      </c>
      <c r="D1067">
        <v>0.25</v>
      </c>
      <c r="E1067" s="4">
        <v>0</v>
      </c>
    </row>
    <row r="1068" spans="1:5" x14ac:dyDescent="0.35">
      <c r="A1068" s="1">
        <v>44532</v>
      </c>
      <c r="B1068" s="2">
        <v>44532</v>
      </c>
      <c r="C1068">
        <v>-0.5</v>
      </c>
      <c r="D1068">
        <v>0.25</v>
      </c>
      <c r="E1068" s="4">
        <v>0</v>
      </c>
    </row>
    <row r="1069" spans="1:5" x14ac:dyDescent="0.35">
      <c r="A1069" s="1">
        <v>44533</v>
      </c>
      <c r="B1069" s="2">
        <v>44533</v>
      </c>
      <c r="C1069">
        <v>-0.5</v>
      </c>
      <c r="D1069">
        <v>0.25</v>
      </c>
      <c r="E1069" s="4">
        <v>0</v>
      </c>
    </row>
    <row r="1070" spans="1:5" x14ac:dyDescent="0.35">
      <c r="A1070" s="1">
        <v>44534</v>
      </c>
      <c r="B1070" s="2">
        <v>44534</v>
      </c>
      <c r="C1070">
        <v>-0.5</v>
      </c>
      <c r="D1070">
        <v>0.25</v>
      </c>
      <c r="E1070" s="4">
        <v>0</v>
      </c>
    </row>
    <row r="1071" spans="1:5" x14ac:dyDescent="0.35">
      <c r="A1071" s="1">
        <v>44535</v>
      </c>
      <c r="B1071" s="2">
        <v>44535</v>
      </c>
      <c r="C1071">
        <v>-0.5</v>
      </c>
      <c r="D1071">
        <v>0.25</v>
      </c>
      <c r="E1071" s="4">
        <v>0</v>
      </c>
    </row>
    <row r="1072" spans="1:5" x14ac:dyDescent="0.35">
      <c r="A1072" s="1">
        <v>44536</v>
      </c>
      <c r="B1072" s="2">
        <v>44536</v>
      </c>
      <c r="C1072">
        <v>-0.5</v>
      </c>
      <c r="D1072">
        <v>0.25</v>
      </c>
      <c r="E1072" s="4">
        <v>0</v>
      </c>
    </row>
    <row r="1073" spans="1:5" x14ac:dyDescent="0.35">
      <c r="A1073" s="1">
        <v>44537</v>
      </c>
      <c r="B1073" s="2">
        <v>44537</v>
      </c>
      <c r="C1073">
        <v>-0.5</v>
      </c>
      <c r="D1073">
        <v>0.25</v>
      </c>
      <c r="E1073" s="4">
        <v>0</v>
      </c>
    </row>
    <row r="1074" spans="1:5" x14ac:dyDescent="0.35">
      <c r="A1074" s="1">
        <v>44538</v>
      </c>
      <c r="B1074" s="2">
        <v>44538</v>
      </c>
      <c r="C1074">
        <v>-0.5</v>
      </c>
      <c r="D1074">
        <v>0.25</v>
      </c>
      <c r="E1074" s="4">
        <v>0</v>
      </c>
    </row>
    <row r="1075" spans="1:5" x14ac:dyDescent="0.35">
      <c r="A1075" s="1">
        <v>44539</v>
      </c>
      <c r="B1075" s="2">
        <v>44539</v>
      </c>
      <c r="C1075">
        <v>-0.5</v>
      </c>
      <c r="D1075">
        <v>0.25</v>
      </c>
      <c r="E1075" s="4">
        <v>0</v>
      </c>
    </row>
    <row r="1076" spans="1:5" x14ac:dyDescent="0.35">
      <c r="A1076" s="1">
        <v>44540</v>
      </c>
      <c r="B1076" s="2">
        <v>44540</v>
      </c>
      <c r="C1076">
        <v>-0.5</v>
      </c>
      <c r="D1076">
        <v>0.25</v>
      </c>
      <c r="E1076" s="4">
        <v>0</v>
      </c>
    </row>
    <row r="1077" spans="1:5" x14ac:dyDescent="0.35">
      <c r="A1077" s="1">
        <v>44541</v>
      </c>
      <c r="B1077" s="2">
        <v>44541</v>
      </c>
      <c r="C1077">
        <v>-0.5</v>
      </c>
      <c r="D1077">
        <v>0.25</v>
      </c>
      <c r="E1077" s="4">
        <v>0</v>
      </c>
    </row>
    <row r="1078" spans="1:5" x14ac:dyDescent="0.35">
      <c r="A1078" s="1">
        <v>44542</v>
      </c>
      <c r="B1078" s="2">
        <v>44542</v>
      </c>
      <c r="C1078">
        <v>-0.5</v>
      </c>
      <c r="D1078">
        <v>0.25</v>
      </c>
      <c r="E1078" s="4">
        <v>0</v>
      </c>
    </row>
    <row r="1079" spans="1:5" x14ac:dyDescent="0.35">
      <c r="A1079" s="1">
        <v>44543</v>
      </c>
      <c r="B1079" s="2">
        <v>44543</v>
      </c>
      <c r="C1079">
        <v>-0.5</v>
      </c>
      <c r="D1079">
        <v>0.25</v>
      </c>
      <c r="E1079" s="4">
        <v>0</v>
      </c>
    </row>
    <row r="1080" spans="1:5" x14ac:dyDescent="0.35">
      <c r="A1080" s="1">
        <v>44544</v>
      </c>
      <c r="B1080" s="2">
        <v>44544</v>
      </c>
      <c r="C1080">
        <v>-0.5</v>
      </c>
      <c r="D1080">
        <v>0.25</v>
      </c>
      <c r="E1080" s="4">
        <v>0</v>
      </c>
    </row>
    <row r="1081" spans="1:5" x14ac:dyDescent="0.35">
      <c r="A1081" s="1">
        <v>44545</v>
      </c>
      <c r="B1081" s="2">
        <v>44545</v>
      </c>
      <c r="C1081">
        <v>-0.5</v>
      </c>
      <c r="D1081">
        <v>0.25</v>
      </c>
      <c r="E1081" s="4">
        <v>0</v>
      </c>
    </row>
    <row r="1082" spans="1:5" x14ac:dyDescent="0.35">
      <c r="A1082" s="1">
        <v>44546</v>
      </c>
      <c r="B1082" s="2">
        <v>44546</v>
      </c>
      <c r="C1082">
        <v>-0.5</v>
      </c>
      <c r="D1082">
        <v>0.25</v>
      </c>
      <c r="E1082" s="4">
        <v>0</v>
      </c>
    </row>
    <row r="1083" spans="1:5" x14ac:dyDescent="0.35">
      <c r="A1083" s="1">
        <v>44547</v>
      </c>
      <c r="B1083" s="2">
        <v>44547</v>
      </c>
      <c r="C1083">
        <v>-0.5</v>
      </c>
      <c r="D1083">
        <v>0.25</v>
      </c>
      <c r="E1083" s="4">
        <v>0</v>
      </c>
    </row>
    <row r="1084" spans="1:5" x14ac:dyDescent="0.35">
      <c r="A1084" s="1">
        <v>44548</v>
      </c>
      <c r="B1084" s="2">
        <v>44548</v>
      </c>
      <c r="C1084">
        <v>-0.5</v>
      </c>
      <c r="D1084">
        <v>0.25</v>
      </c>
      <c r="E1084" s="4">
        <v>0</v>
      </c>
    </row>
    <row r="1085" spans="1:5" x14ac:dyDescent="0.35">
      <c r="A1085" s="1">
        <v>44549</v>
      </c>
      <c r="B1085" s="2">
        <v>44549</v>
      </c>
      <c r="C1085">
        <v>-0.5</v>
      </c>
      <c r="D1085">
        <v>0.25</v>
      </c>
      <c r="E1085" s="4">
        <v>0</v>
      </c>
    </row>
    <row r="1086" spans="1:5" x14ac:dyDescent="0.35">
      <c r="A1086" s="1">
        <v>44550</v>
      </c>
      <c r="B1086" s="2">
        <v>44550</v>
      </c>
      <c r="C1086">
        <v>-0.5</v>
      </c>
      <c r="D1086">
        <v>0.25</v>
      </c>
      <c r="E1086" s="4">
        <v>0</v>
      </c>
    </row>
    <row r="1087" spans="1:5" x14ac:dyDescent="0.35">
      <c r="A1087" s="1">
        <v>44551</v>
      </c>
      <c r="B1087" s="2">
        <v>44551</v>
      </c>
      <c r="C1087">
        <v>-0.5</v>
      </c>
      <c r="D1087">
        <v>0.25</v>
      </c>
      <c r="E1087" s="4">
        <v>0</v>
      </c>
    </row>
    <row r="1088" spans="1:5" x14ac:dyDescent="0.35">
      <c r="A1088" s="1">
        <v>44552</v>
      </c>
      <c r="B1088" s="2">
        <v>44552</v>
      </c>
      <c r="C1088">
        <v>-0.5</v>
      </c>
      <c r="D1088">
        <v>0.25</v>
      </c>
      <c r="E1088" s="4">
        <v>0</v>
      </c>
    </row>
    <row r="1089" spans="1:5" x14ac:dyDescent="0.35">
      <c r="A1089" s="1">
        <v>44553</v>
      </c>
      <c r="B1089" s="2">
        <v>44553</v>
      </c>
      <c r="C1089">
        <v>-0.5</v>
      </c>
      <c r="D1089">
        <v>0.25</v>
      </c>
      <c r="E1089" s="4">
        <v>0</v>
      </c>
    </row>
    <row r="1090" spans="1:5" x14ac:dyDescent="0.35">
      <c r="A1090" s="1">
        <v>44554</v>
      </c>
      <c r="B1090" s="2">
        <v>44554</v>
      </c>
      <c r="C1090">
        <v>-0.5</v>
      </c>
      <c r="D1090">
        <v>0.25</v>
      </c>
      <c r="E1090" s="4">
        <v>0</v>
      </c>
    </row>
    <row r="1091" spans="1:5" x14ac:dyDescent="0.35">
      <c r="A1091" s="1">
        <v>44555</v>
      </c>
      <c r="B1091" s="2">
        <v>44555</v>
      </c>
      <c r="C1091">
        <v>-0.5</v>
      </c>
      <c r="D1091">
        <v>0.25</v>
      </c>
      <c r="E1091" s="4">
        <v>0</v>
      </c>
    </row>
    <row r="1092" spans="1:5" x14ac:dyDescent="0.35">
      <c r="A1092" s="1">
        <v>44556</v>
      </c>
      <c r="B1092" s="2">
        <v>44556</v>
      </c>
      <c r="C1092">
        <v>-0.5</v>
      </c>
      <c r="D1092">
        <v>0.25</v>
      </c>
      <c r="E1092" s="4">
        <v>0</v>
      </c>
    </row>
    <row r="1093" spans="1:5" x14ac:dyDescent="0.35">
      <c r="A1093" s="1">
        <v>44557</v>
      </c>
      <c r="B1093" s="2">
        <v>44557</v>
      </c>
      <c r="C1093">
        <v>-0.5</v>
      </c>
      <c r="D1093">
        <v>0.25</v>
      </c>
      <c r="E1093" s="4">
        <v>0</v>
      </c>
    </row>
    <row r="1094" spans="1:5" x14ac:dyDescent="0.35">
      <c r="A1094" s="1">
        <v>44558</v>
      </c>
      <c r="B1094" s="2">
        <v>44558</v>
      </c>
      <c r="C1094">
        <v>-0.5</v>
      </c>
      <c r="D1094">
        <v>0.25</v>
      </c>
      <c r="E1094" s="4">
        <v>0</v>
      </c>
    </row>
    <row r="1095" spans="1:5" x14ac:dyDescent="0.35">
      <c r="A1095" s="1">
        <v>44559</v>
      </c>
      <c r="B1095" s="2">
        <v>44559</v>
      </c>
      <c r="C1095">
        <v>-0.5</v>
      </c>
      <c r="D1095">
        <v>0.25</v>
      </c>
      <c r="E1095" s="4">
        <v>0</v>
      </c>
    </row>
    <row r="1096" spans="1:5" x14ac:dyDescent="0.35">
      <c r="A1096" s="1">
        <v>44560</v>
      </c>
      <c r="B1096" s="2">
        <v>44560</v>
      </c>
      <c r="C1096">
        <v>-0.5</v>
      </c>
      <c r="D1096">
        <v>0.25</v>
      </c>
      <c r="E1096" s="4">
        <v>0</v>
      </c>
    </row>
    <row r="1097" spans="1:5" x14ac:dyDescent="0.35">
      <c r="A1097" s="1">
        <v>44561</v>
      </c>
      <c r="B1097" s="2">
        <v>44561</v>
      </c>
      <c r="C1097">
        <v>-0.5</v>
      </c>
      <c r="D1097">
        <v>0.25</v>
      </c>
      <c r="E1097" s="4">
        <v>0</v>
      </c>
    </row>
    <row r="1098" spans="1:5" x14ac:dyDescent="0.35">
      <c r="A1098" s="1">
        <v>44562</v>
      </c>
      <c r="B1098" s="2">
        <v>44562</v>
      </c>
      <c r="C1098">
        <v>-0.5</v>
      </c>
      <c r="D1098">
        <v>0.25</v>
      </c>
      <c r="E1098" s="4">
        <v>0</v>
      </c>
    </row>
    <row r="1099" spans="1:5" x14ac:dyDescent="0.35">
      <c r="A1099" s="1">
        <v>44563</v>
      </c>
      <c r="B1099" s="2">
        <v>44563</v>
      </c>
      <c r="C1099">
        <v>-0.5</v>
      </c>
      <c r="D1099">
        <v>0.25</v>
      </c>
      <c r="E1099" s="4">
        <v>0</v>
      </c>
    </row>
    <row r="1100" spans="1:5" x14ac:dyDescent="0.35">
      <c r="A1100" s="1">
        <v>44564</v>
      </c>
      <c r="B1100" s="2">
        <v>44564</v>
      </c>
      <c r="C1100">
        <v>-0.5</v>
      </c>
      <c r="D1100">
        <v>0.25</v>
      </c>
      <c r="E1100" s="4">
        <v>0</v>
      </c>
    </row>
    <row r="1101" spans="1:5" x14ac:dyDescent="0.35">
      <c r="A1101" s="1">
        <v>44565</v>
      </c>
      <c r="B1101" s="2">
        <v>44565</v>
      </c>
      <c r="C1101">
        <v>-0.5</v>
      </c>
      <c r="D1101">
        <v>0.25</v>
      </c>
      <c r="E1101" s="4">
        <v>0</v>
      </c>
    </row>
    <row r="1102" spans="1:5" x14ac:dyDescent="0.35">
      <c r="A1102" s="1">
        <v>44566</v>
      </c>
      <c r="B1102" s="2">
        <v>44566</v>
      </c>
      <c r="C1102">
        <v>-0.5</v>
      </c>
      <c r="D1102">
        <v>0.25</v>
      </c>
      <c r="E1102" s="4">
        <v>0</v>
      </c>
    </row>
    <row r="1103" spans="1:5" x14ac:dyDescent="0.35">
      <c r="A1103" s="1">
        <v>44567</v>
      </c>
      <c r="B1103" s="2">
        <v>44567</v>
      </c>
      <c r="C1103">
        <v>-0.5</v>
      </c>
      <c r="D1103">
        <v>0.25</v>
      </c>
      <c r="E1103" s="4">
        <v>0</v>
      </c>
    </row>
    <row r="1104" spans="1:5" x14ac:dyDescent="0.35">
      <c r="A1104" s="1">
        <v>44568</v>
      </c>
      <c r="B1104" s="2">
        <v>44568</v>
      </c>
      <c r="C1104">
        <v>-0.5</v>
      </c>
      <c r="D1104">
        <v>0.25</v>
      </c>
      <c r="E1104" s="4">
        <v>0</v>
      </c>
    </row>
    <row r="1105" spans="1:5" x14ac:dyDescent="0.35">
      <c r="A1105" s="1">
        <v>44569</v>
      </c>
      <c r="B1105" s="2">
        <v>44569</v>
      </c>
      <c r="C1105">
        <v>-0.5</v>
      </c>
      <c r="D1105">
        <v>0.25</v>
      </c>
      <c r="E1105" s="4">
        <v>0</v>
      </c>
    </row>
    <row r="1106" spans="1:5" x14ac:dyDescent="0.35">
      <c r="A1106" s="1">
        <v>44570</v>
      </c>
      <c r="B1106" s="2">
        <v>44570</v>
      </c>
      <c r="C1106">
        <v>-0.5</v>
      </c>
      <c r="D1106">
        <v>0.25</v>
      </c>
      <c r="E1106" s="4">
        <v>0</v>
      </c>
    </row>
    <row r="1107" spans="1:5" x14ac:dyDescent="0.35">
      <c r="A1107" s="1">
        <v>44571</v>
      </c>
      <c r="B1107" s="2">
        <v>44571</v>
      </c>
      <c r="C1107">
        <v>-0.5</v>
      </c>
      <c r="D1107">
        <v>0.25</v>
      </c>
      <c r="E1107" s="4">
        <v>0</v>
      </c>
    </row>
    <row r="1108" spans="1:5" x14ac:dyDescent="0.35">
      <c r="A1108" s="1">
        <v>44572</v>
      </c>
      <c r="B1108" s="2">
        <v>44572</v>
      </c>
      <c r="C1108">
        <v>-0.5</v>
      </c>
      <c r="D1108">
        <v>0.25</v>
      </c>
      <c r="E1108" s="4">
        <v>0</v>
      </c>
    </row>
    <row r="1109" spans="1:5" x14ac:dyDescent="0.35">
      <c r="A1109" s="1">
        <v>44573</v>
      </c>
      <c r="B1109" s="2">
        <v>44573</v>
      </c>
      <c r="C1109">
        <v>-0.5</v>
      </c>
      <c r="D1109">
        <v>0.25</v>
      </c>
      <c r="E1109" s="4">
        <v>0</v>
      </c>
    </row>
    <row r="1110" spans="1:5" x14ac:dyDescent="0.35">
      <c r="A1110" s="1">
        <v>44574</v>
      </c>
      <c r="B1110" s="2">
        <v>44574</v>
      </c>
      <c r="C1110">
        <v>-0.5</v>
      </c>
      <c r="D1110">
        <v>0.25</v>
      </c>
      <c r="E1110" s="4">
        <v>0</v>
      </c>
    </row>
    <row r="1111" spans="1:5" x14ac:dyDescent="0.35">
      <c r="A1111" s="1">
        <v>44575</v>
      </c>
      <c r="B1111" s="2">
        <v>44575</v>
      </c>
      <c r="C1111">
        <v>-0.5</v>
      </c>
      <c r="D1111">
        <v>0.25</v>
      </c>
      <c r="E1111" s="4">
        <v>0</v>
      </c>
    </row>
    <row r="1112" spans="1:5" x14ac:dyDescent="0.35">
      <c r="A1112" s="1">
        <v>44576</v>
      </c>
      <c r="B1112" s="2">
        <v>44576</v>
      </c>
      <c r="C1112">
        <v>-0.5</v>
      </c>
      <c r="D1112">
        <v>0.25</v>
      </c>
      <c r="E1112" s="4">
        <v>0</v>
      </c>
    </row>
    <row r="1113" spans="1:5" x14ac:dyDescent="0.35">
      <c r="A1113" s="1">
        <v>44577</v>
      </c>
      <c r="B1113" s="2">
        <v>44577</v>
      </c>
      <c r="C1113">
        <v>-0.5</v>
      </c>
      <c r="D1113">
        <v>0.25</v>
      </c>
      <c r="E1113" s="4">
        <v>0</v>
      </c>
    </row>
    <row r="1114" spans="1:5" x14ac:dyDescent="0.35">
      <c r="A1114" s="1">
        <v>44578</v>
      </c>
      <c r="B1114" s="2">
        <v>44578</v>
      </c>
      <c r="C1114">
        <v>-0.5</v>
      </c>
      <c r="D1114">
        <v>0.25</v>
      </c>
      <c r="E1114" s="4">
        <v>0</v>
      </c>
    </row>
    <row r="1115" spans="1:5" x14ac:dyDescent="0.35">
      <c r="A1115" s="1">
        <v>44579</v>
      </c>
      <c r="B1115" s="2">
        <v>44579</v>
      </c>
      <c r="C1115">
        <v>-0.5</v>
      </c>
      <c r="D1115">
        <v>0.25</v>
      </c>
      <c r="E1115" s="4">
        <v>0</v>
      </c>
    </row>
    <row r="1116" spans="1:5" x14ac:dyDescent="0.35">
      <c r="A1116" s="1">
        <v>44580</v>
      </c>
      <c r="B1116" s="2">
        <v>44580</v>
      </c>
      <c r="C1116">
        <v>-0.5</v>
      </c>
      <c r="D1116">
        <v>0.25</v>
      </c>
      <c r="E1116" s="4">
        <v>0</v>
      </c>
    </row>
    <row r="1117" spans="1:5" x14ac:dyDescent="0.35">
      <c r="A1117" s="1">
        <v>44581</v>
      </c>
      <c r="B1117" s="2">
        <v>44581</v>
      </c>
      <c r="C1117">
        <v>-0.5</v>
      </c>
      <c r="D1117">
        <v>0.25</v>
      </c>
      <c r="E1117" s="4">
        <v>0</v>
      </c>
    </row>
    <row r="1118" spans="1:5" x14ac:dyDescent="0.35">
      <c r="A1118" s="1">
        <v>44582</v>
      </c>
      <c r="B1118" s="2">
        <v>44582</v>
      </c>
      <c r="C1118">
        <v>-0.5</v>
      </c>
      <c r="D1118">
        <v>0.25</v>
      </c>
      <c r="E1118" s="4">
        <v>0</v>
      </c>
    </row>
    <row r="1119" spans="1:5" x14ac:dyDescent="0.35">
      <c r="A1119" s="1">
        <v>44583</v>
      </c>
      <c r="B1119" s="2">
        <v>44583</v>
      </c>
      <c r="C1119">
        <v>-0.5</v>
      </c>
      <c r="D1119">
        <v>0.25</v>
      </c>
      <c r="E1119" s="4">
        <v>0</v>
      </c>
    </row>
    <row r="1120" spans="1:5" x14ac:dyDescent="0.35">
      <c r="A1120" s="1">
        <v>44584</v>
      </c>
      <c r="B1120" s="2">
        <v>44584</v>
      </c>
      <c r="C1120">
        <v>-0.5</v>
      </c>
      <c r="D1120">
        <v>0.25</v>
      </c>
      <c r="E1120" s="4">
        <v>0</v>
      </c>
    </row>
    <row r="1121" spans="1:5" x14ac:dyDescent="0.35">
      <c r="A1121" s="1">
        <v>44585</v>
      </c>
      <c r="B1121" s="2">
        <v>44585</v>
      </c>
      <c r="C1121">
        <v>-0.5</v>
      </c>
      <c r="D1121">
        <v>0.25</v>
      </c>
      <c r="E1121" s="4">
        <v>0</v>
      </c>
    </row>
    <row r="1122" spans="1:5" x14ac:dyDescent="0.35">
      <c r="A1122" s="1">
        <v>44586</v>
      </c>
      <c r="B1122" s="2">
        <v>44586</v>
      </c>
      <c r="C1122">
        <v>-0.5</v>
      </c>
      <c r="D1122">
        <v>0.25</v>
      </c>
      <c r="E1122" s="4">
        <v>0</v>
      </c>
    </row>
    <row r="1123" spans="1:5" x14ac:dyDescent="0.35">
      <c r="A1123" s="1">
        <v>44587</v>
      </c>
      <c r="B1123" s="2">
        <v>44587</v>
      </c>
      <c r="C1123">
        <v>-0.5</v>
      </c>
      <c r="D1123">
        <v>0.25</v>
      </c>
      <c r="E1123" s="4">
        <v>0</v>
      </c>
    </row>
    <row r="1124" spans="1:5" x14ac:dyDescent="0.35">
      <c r="A1124" s="1">
        <v>44588</v>
      </c>
      <c r="B1124" s="2">
        <v>44588</v>
      </c>
      <c r="C1124">
        <v>-0.5</v>
      </c>
      <c r="D1124">
        <v>0.25</v>
      </c>
      <c r="E1124" s="4">
        <v>0</v>
      </c>
    </row>
    <row r="1125" spans="1:5" x14ac:dyDescent="0.35">
      <c r="A1125" s="1">
        <v>44589</v>
      </c>
      <c r="B1125" s="2">
        <v>44589</v>
      </c>
      <c r="C1125">
        <v>-0.5</v>
      </c>
      <c r="D1125">
        <v>0.25</v>
      </c>
      <c r="E1125" s="4">
        <v>0</v>
      </c>
    </row>
    <row r="1126" spans="1:5" x14ac:dyDescent="0.35">
      <c r="A1126" s="1">
        <v>44590</v>
      </c>
      <c r="B1126" s="2">
        <v>44590</v>
      </c>
      <c r="C1126">
        <v>-0.5</v>
      </c>
      <c r="D1126">
        <v>0.25</v>
      </c>
      <c r="E1126" s="4">
        <v>0</v>
      </c>
    </row>
    <row r="1127" spans="1:5" x14ac:dyDescent="0.35">
      <c r="A1127" s="1">
        <v>44591</v>
      </c>
      <c r="B1127" s="2">
        <v>44591</v>
      </c>
      <c r="C1127">
        <v>-0.5</v>
      </c>
      <c r="D1127">
        <v>0.25</v>
      </c>
      <c r="E1127" s="4">
        <v>0</v>
      </c>
    </row>
    <row r="1128" spans="1:5" x14ac:dyDescent="0.35">
      <c r="A1128" s="1">
        <v>44592</v>
      </c>
      <c r="B1128" s="2">
        <v>44592</v>
      </c>
      <c r="C1128">
        <v>-0.5</v>
      </c>
      <c r="D1128">
        <v>0.25</v>
      </c>
      <c r="E1128" s="4">
        <v>0</v>
      </c>
    </row>
    <row r="1129" spans="1:5" x14ac:dyDescent="0.35">
      <c r="A1129" s="1">
        <v>44593</v>
      </c>
      <c r="B1129" s="2">
        <v>44593</v>
      </c>
      <c r="C1129">
        <v>-0.5</v>
      </c>
      <c r="D1129">
        <v>0.25</v>
      </c>
      <c r="E1129" s="4">
        <v>0</v>
      </c>
    </row>
    <row r="1130" spans="1:5" x14ac:dyDescent="0.35">
      <c r="A1130" s="1">
        <v>44594</v>
      </c>
      <c r="B1130" s="2">
        <v>44594</v>
      </c>
      <c r="C1130">
        <v>-0.5</v>
      </c>
      <c r="D1130">
        <v>0.25</v>
      </c>
      <c r="E1130" s="4">
        <v>0</v>
      </c>
    </row>
    <row r="1131" spans="1:5" x14ac:dyDescent="0.35">
      <c r="A1131" s="1">
        <v>44595</v>
      </c>
      <c r="B1131" s="2">
        <v>44595</v>
      </c>
      <c r="C1131">
        <v>-0.5</v>
      </c>
      <c r="D1131">
        <v>0.25</v>
      </c>
      <c r="E1131" s="4">
        <v>0</v>
      </c>
    </row>
    <row r="1132" spans="1:5" x14ac:dyDescent="0.35">
      <c r="A1132" s="1">
        <v>44596</v>
      </c>
      <c r="B1132" s="2">
        <v>44596</v>
      </c>
      <c r="C1132">
        <v>-0.5</v>
      </c>
      <c r="D1132">
        <v>0.25</v>
      </c>
      <c r="E1132" s="4">
        <v>0</v>
      </c>
    </row>
    <row r="1133" spans="1:5" x14ac:dyDescent="0.35">
      <c r="A1133" s="1">
        <v>44597</v>
      </c>
      <c r="B1133" s="2">
        <v>44597</v>
      </c>
      <c r="C1133">
        <v>-0.5</v>
      </c>
      <c r="D1133">
        <v>0.25</v>
      </c>
      <c r="E1133" s="4">
        <v>0</v>
      </c>
    </row>
    <row r="1134" spans="1:5" x14ac:dyDescent="0.35">
      <c r="A1134" s="1">
        <v>44598</v>
      </c>
      <c r="B1134" s="2">
        <v>44598</v>
      </c>
      <c r="C1134">
        <v>-0.5</v>
      </c>
      <c r="D1134">
        <v>0.25</v>
      </c>
      <c r="E1134" s="4">
        <v>0</v>
      </c>
    </row>
    <row r="1135" spans="1:5" x14ac:dyDescent="0.35">
      <c r="A1135" s="1">
        <v>44599</v>
      </c>
      <c r="B1135" s="2">
        <v>44599</v>
      </c>
      <c r="C1135">
        <v>-0.5</v>
      </c>
      <c r="D1135">
        <v>0.25</v>
      </c>
      <c r="E1135" s="4">
        <v>0</v>
      </c>
    </row>
    <row r="1136" spans="1:5" x14ac:dyDescent="0.35">
      <c r="A1136" s="1">
        <v>44600</v>
      </c>
      <c r="B1136" s="2">
        <v>44600</v>
      </c>
      <c r="C1136">
        <v>-0.5</v>
      </c>
      <c r="D1136">
        <v>0.25</v>
      </c>
      <c r="E1136" s="4">
        <v>0</v>
      </c>
    </row>
    <row r="1137" spans="1:5" x14ac:dyDescent="0.35">
      <c r="A1137" s="1">
        <v>44601</v>
      </c>
      <c r="B1137" s="2">
        <v>44601</v>
      </c>
      <c r="C1137">
        <v>-0.5</v>
      </c>
      <c r="D1137">
        <v>0.25</v>
      </c>
      <c r="E1137" s="4">
        <v>0</v>
      </c>
    </row>
    <row r="1138" spans="1:5" x14ac:dyDescent="0.35">
      <c r="A1138" s="1">
        <v>44602</v>
      </c>
      <c r="B1138" s="2">
        <v>44602</v>
      </c>
      <c r="C1138">
        <v>-0.5</v>
      </c>
      <c r="D1138">
        <v>0.25</v>
      </c>
      <c r="E1138" s="4">
        <v>0</v>
      </c>
    </row>
    <row r="1139" spans="1:5" x14ac:dyDescent="0.35">
      <c r="A1139" s="1">
        <v>44603</v>
      </c>
      <c r="B1139" s="2">
        <v>44603</v>
      </c>
      <c r="C1139">
        <v>-0.5</v>
      </c>
      <c r="D1139">
        <v>0.25</v>
      </c>
      <c r="E1139" s="4">
        <v>0</v>
      </c>
    </row>
    <row r="1140" spans="1:5" x14ac:dyDescent="0.35">
      <c r="A1140" s="1">
        <v>44604</v>
      </c>
      <c r="B1140" s="2">
        <v>44604</v>
      </c>
      <c r="C1140">
        <v>-0.5</v>
      </c>
      <c r="D1140">
        <v>0.25</v>
      </c>
      <c r="E1140" s="4">
        <v>0</v>
      </c>
    </row>
    <row r="1141" spans="1:5" x14ac:dyDescent="0.35">
      <c r="A1141" s="1">
        <v>44605</v>
      </c>
      <c r="B1141" s="2">
        <v>44605</v>
      </c>
      <c r="C1141">
        <v>-0.5</v>
      </c>
      <c r="D1141">
        <v>0.25</v>
      </c>
      <c r="E1141" s="4">
        <v>0</v>
      </c>
    </row>
    <row r="1142" spans="1:5" x14ac:dyDescent="0.35">
      <c r="A1142" s="1">
        <v>44606</v>
      </c>
      <c r="B1142" s="2">
        <v>44606</v>
      </c>
      <c r="C1142">
        <v>-0.5</v>
      </c>
      <c r="D1142">
        <v>0.25</v>
      </c>
      <c r="E1142" s="4">
        <v>0</v>
      </c>
    </row>
    <row r="1143" spans="1:5" x14ac:dyDescent="0.35">
      <c r="A1143" s="1">
        <v>44607</v>
      </c>
      <c r="B1143" s="2">
        <v>44607</v>
      </c>
      <c r="C1143">
        <v>-0.5</v>
      </c>
      <c r="D1143">
        <v>0.25</v>
      </c>
      <c r="E1143" s="4">
        <v>0</v>
      </c>
    </row>
    <row r="1144" spans="1:5" x14ac:dyDescent="0.35">
      <c r="A1144" s="1">
        <v>44608</v>
      </c>
      <c r="B1144" s="2">
        <v>44608</v>
      </c>
      <c r="C1144">
        <v>-0.5</v>
      </c>
      <c r="D1144">
        <v>0.25</v>
      </c>
      <c r="E1144" s="4">
        <v>0</v>
      </c>
    </row>
    <row r="1145" spans="1:5" x14ac:dyDescent="0.35">
      <c r="A1145" s="1">
        <v>44609</v>
      </c>
      <c r="B1145" s="2">
        <v>44609</v>
      </c>
      <c r="C1145">
        <v>-0.5</v>
      </c>
      <c r="D1145">
        <v>0.25</v>
      </c>
      <c r="E1145" s="4">
        <v>0</v>
      </c>
    </row>
    <row r="1146" spans="1:5" x14ac:dyDescent="0.35">
      <c r="A1146" s="1">
        <v>44610</v>
      </c>
      <c r="B1146" s="2">
        <v>44610</v>
      </c>
      <c r="C1146">
        <v>-0.5</v>
      </c>
      <c r="D1146">
        <v>0.25</v>
      </c>
      <c r="E1146" s="4">
        <v>0</v>
      </c>
    </row>
    <row r="1147" spans="1:5" x14ac:dyDescent="0.35">
      <c r="A1147" s="1">
        <v>44611</v>
      </c>
      <c r="B1147" s="2">
        <v>44611</v>
      </c>
      <c r="C1147">
        <v>-0.5</v>
      </c>
      <c r="D1147">
        <v>0.25</v>
      </c>
      <c r="E1147" s="4">
        <v>0</v>
      </c>
    </row>
    <row r="1148" spans="1:5" x14ac:dyDescent="0.35">
      <c r="A1148" s="1">
        <v>44612</v>
      </c>
      <c r="B1148" s="2">
        <v>44612</v>
      </c>
      <c r="C1148">
        <v>-0.5</v>
      </c>
      <c r="D1148">
        <v>0.25</v>
      </c>
      <c r="E1148" s="4">
        <v>0</v>
      </c>
    </row>
    <row r="1149" spans="1:5" x14ac:dyDescent="0.35">
      <c r="A1149" s="1">
        <v>44613</v>
      </c>
      <c r="B1149" s="2">
        <v>44613</v>
      </c>
      <c r="C1149">
        <v>-0.5</v>
      </c>
      <c r="D1149">
        <v>0.25</v>
      </c>
      <c r="E1149" s="4">
        <v>0</v>
      </c>
    </row>
    <row r="1150" spans="1:5" x14ac:dyDescent="0.35">
      <c r="A1150" s="1">
        <v>44614</v>
      </c>
      <c r="B1150" s="2">
        <v>44614</v>
      </c>
      <c r="C1150">
        <v>-0.5</v>
      </c>
      <c r="D1150">
        <v>0.25</v>
      </c>
      <c r="E1150" s="4">
        <v>0</v>
      </c>
    </row>
    <row r="1151" spans="1:5" x14ac:dyDescent="0.35">
      <c r="A1151" s="1">
        <v>44615</v>
      </c>
      <c r="B1151" s="2">
        <v>44615</v>
      </c>
      <c r="C1151">
        <v>-0.5</v>
      </c>
      <c r="D1151">
        <v>0.25</v>
      </c>
      <c r="E1151" s="4">
        <v>0</v>
      </c>
    </row>
    <row r="1152" spans="1:5" x14ac:dyDescent="0.35">
      <c r="A1152" s="1">
        <v>44616</v>
      </c>
      <c r="B1152" s="2">
        <v>44616</v>
      </c>
      <c r="C1152">
        <v>-0.5</v>
      </c>
      <c r="D1152">
        <v>0.25</v>
      </c>
      <c r="E1152" s="4">
        <v>0</v>
      </c>
    </row>
    <row r="1153" spans="1:5" x14ac:dyDescent="0.35">
      <c r="A1153" s="1">
        <v>44617</v>
      </c>
      <c r="B1153" s="2">
        <v>44617</v>
      </c>
      <c r="C1153">
        <v>-0.5</v>
      </c>
      <c r="D1153">
        <v>0.25</v>
      </c>
      <c r="E1153" s="4">
        <v>0</v>
      </c>
    </row>
    <row r="1154" spans="1:5" x14ac:dyDescent="0.35">
      <c r="A1154" s="1">
        <v>44618</v>
      </c>
      <c r="B1154" s="2">
        <v>44618</v>
      </c>
      <c r="C1154">
        <v>-0.5</v>
      </c>
      <c r="D1154">
        <v>0.25</v>
      </c>
      <c r="E1154" s="4">
        <v>0</v>
      </c>
    </row>
    <row r="1155" spans="1:5" x14ac:dyDescent="0.35">
      <c r="A1155" s="1">
        <v>44619</v>
      </c>
      <c r="B1155" s="2">
        <v>44619</v>
      </c>
      <c r="C1155">
        <v>-0.5</v>
      </c>
      <c r="D1155">
        <v>0.25</v>
      </c>
      <c r="E1155" s="4">
        <v>0</v>
      </c>
    </row>
    <row r="1156" spans="1:5" x14ac:dyDescent="0.35">
      <c r="A1156" s="1">
        <v>44620</v>
      </c>
      <c r="B1156" s="2">
        <v>44620</v>
      </c>
      <c r="C1156">
        <v>-0.5</v>
      </c>
      <c r="D1156">
        <v>0.25</v>
      </c>
      <c r="E1156" s="4">
        <v>0</v>
      </c>
    </row>
    <row r="1157" spans="1:5" x14ac:dyDescent="0.35">
      <c r="A1157" s="1">
        <v>44621</v>
      </c>
      <c r="B1157" s="2">
        <v>44621</v>
      </c>
      <c r="C1157">
        <v>-0.5</v>
      </c>
      <c r="D1157">
        <v>0.25</v>
      </c>
      <c r="E1157" s="4">
        <v>0</v>
      </c>
    </row>
    <row r="1158" spans="1:5" x14ac:dyDescent="0.35">
      <c r="A1158" s="1">
        <v>44622</v>
      </c>
      <c r="B1158" s="2">
        <v>44622</v>
      </c>
      <c r="C1158">
        <v>-0.5</v>
      </c>
      <c r="D1158">
        <v>0.25</v>
      </c>
      <c r="E1158" s="4">
        <v>0</v>
      </c>
    </row>
    <row r="1159" spans="1:5" x14ac:dyDescent="0.35">
      <c r="A1159" s="1">
        <v>44623</v>
      </c>
      <c r="B1159" s="2">
        <v>44623</v>
      </c>
      <c r="C1159">
        <v>-0.5</v>
      </c>
      <c r="D1159">
        <v>0.25</v>
      </c>
      <c r="E1159" s="4">
        <v>0</v>
      </c>
    </row>
    <row r="1160" spans="1:5" x14ac:dyDescent="0.35">
      <c r="A1160" s="1">
        <v>44624</v>
      </c>
      <c r="B1160" s="2">
        <v>44624</v>
      </c>
      <c r="C1160">
        <v>-0.5</v>
      </c>
      <c r="D1160">
        <v>0.25</v>
      </c>
      <c r="E1160" s="4">
        <v>0</v>
      </c>
    </row>
    <row r="1161" spans="1:5" x14ac:dyDescent="0.35">
      <c r="A1161" s="1">
        <v>44625</v>
      </c>
      <c r="B1161" s="2">
        <v>44625</v>
      </c>
      <c r="C1161">
        <v>-0.5</v>
      </c>
      <c r="D1161">
        <v>0.25</v>
      </c>
      <c r="E1161" s="4">
        <v>0</v>
      </c>
    </row>
    <row r="1162" spans="1:5" x14ac:dyDescent="0.35">
      <c r="A1162" s="1">
        <v>44626</v>
      </c>
      <c r="B1162" s="2">
        <v>44626</v>
      </c>
      <c r="C1162">
        <v>-0.5</v>
      </c>
      <c r="D1162">
        <v>0.25</v>
      </c>
      <c r="E1162" s="4">
        <v>0</v>
      </c>
    </row>
    <row r="1163" spans="1:5" x14ac:dyDescent="0.35">
      <c r="A1163" s="1">
        <v>44627</v>
      </c>
      <c r="B1163" s="2">
        <v>44627</v>
      </c>
      <c r="C1163">
        <v>-0.5</v>
      </c>
      <c r="D1163">
        <v>0.25</v>
      </c>
      <c r="E1163" s="4">
        <v>0</v>
      </c>
    </row>
    <row r="1164" spans="1:5" x14ac:dyDescent="0.35">
      <c r="A1164" s="1">
        <v>44628</v>
      </c>
      <c r="B1164" s="2">
        <v>44628</v>
      </c>
      <c r="C1164">
        <v>-0.5</v>
      </c>
      <c r="D1164">
        <v>0.25</v>
      </c>
      <c r="E1164" s="4">
        <v>0</v>
      </c>
    </row>
    <row r="1165" spans="1:5" x14ac:dyDescent="0.35">
      <c r="A1165" s="1">
        <v>44629</v>
      </c>
      <c r="B1165" s="2">
        <v>44629</v>
      </c>
      <c r="C1165">
        <v>-0.5</v>
      </c>
      <c r="D1165">
        <v>0.25</v>
      </c>
      <c r="E1165" s="4">
        <v>0</v>
      </c>
    </row>
    <row r="1166" spans="1:5" x14ac:dyDescent="0.35">
      <c r="A1166" s="1">
        <v>44630</v>
      </c>
      <c r="B1166" s="2">
        <v>44630</v>
      </c>
      <c r="C1166">
        <v>-0.5</v>
      </c>
      <c r="D1166">
        <v>0.25</v>
      </c>
      <c r="E1166" s="4">
        <v>0</v>
      </c>
    </row>
    <row r="1167" spans="1:5" x14ac:dyDescent="0.35">
      <c r="A1167" s="1">
        <v>44631</v>
      </c>
      <c r="B1167" s="2">
        <v>44631</v>
      </c>
      <c r="C1167">
        <v>-0.5</v>
      </c>
      <c r="D1167">
        <v>0.25</v>
      </c>
      <c r="E1167" s="4">
        <v>0</v>
      </c>
    </row>
    <row r="1168" spans="1:5" x14ac:dyDescent="0.35">
      <c r="A1168" s="1">
        <v>44632</v>
      </c>
      <c r="B1168" s="2">
        <v>44632</v>
      </c>
      <c r="C1168">
        <v>-0.5</v>
      </c>
      <c r="D1168">
        <v>0.25</v>
      </c>
      <c r="E1168" s="4">
        <v>0</v>
      </c>
    </row>
    <row r="1169" spans="1:5" x14ac:dyDescent="0.35">
      <c r="A1169" s="1">
        <v>44633</v>
      </c>
      <c r="B1169" s="2">
        <v>44633</v>
      </c>
      <c r="C1169">
        <v>-0.5</v>
      </c>
      <c r="D1169">
        <v>0.25</v>
      </c>
      <c r="E1169" s="4">
        <v>0</v>
      </c>
    </row>
    <row r="1170" spans="1:5" x14ac:dyDescent="0.35">
      <c r="A1170" s="1">
        <v>44634</v>
      </c>
      <c r="B1170" s="2">
        <v>44634</v>
      </c>
      <c r="C1170">
        <v>-0.5</v>
      </c>
      <c r="D1170">
        <v>0.25</v>
      </c>
      <c r="E1170" s="4">
        <v>0</v>
      </c>
    </row>
    <row r="1171" spans="1:5" x14ac:dyDescent="0.35">
      <c r="A1171" s="1">
        <v>44635</v>
      </c>
      <c r="B1171" s="2">
        <v>44635</v>
      </c>
      <c r="C1171">
        <v>-0.5</v>
      </c>
      <c r="D1171">
        <v>0.25</v>
      </c>
      <c r="E1171" s="4">
        <v>0</v>
      </c>
    </row>
    <row r="1172" spans="1:5" x14ac:dyDescent="0.35">
      <c r="A1172" s="1">
        <v>44636</v>
      </c>
      <c r="B1172" s="2">
        <v>44636</v>
      </c>
      <c r="C1172">
        <v>-0.5</v>
      </c>
      <c r="D1172">
        <v>0.25</v>
      </c>
      <c r="E1172" s="4">
        <v>0</v>
      </c>
    </row>
    <row r="1173" spans="1:5" x14ac:dyDescent="0.35">
      <c r="A1173" s="1">
        <v>44637</v>
      </c>
      <c r="B1173" s="2">
        <v>44637</v>
      </c>
      <c r="C1173">
        <v>-0.5</v>
      </c>
      <c r="D1173">
        <v>0.25</v>
      </c>
      <c r="E1173" s="4">
        <v>0</v>
      </c>
    </row>
    <row r="1174" spans="1:5" x14ac:dyDescent="0.35">
      <c r="A1174" s="1">
        <v>44638</v>
      </c>
      <c r="B1174" s="2">
        <v>44638</v>
      </c>
      <c r="C1174">
        <v>-0.5</v>
      </c>
      <c r="D1174">
        <v>0.25</v>
      </c>
      <c r="E1174" s="4">
        <v>0</v>
      </c>
    </row>
    <row r="1175" spans="1:5" x14ac:dyDescent="0.35">
      <c r="A1175" s="1">
        <v>44639</v>
      </c>
      <c r="B1175" s="2">
        <v>44639</v>
      </c>
      <c r="C1175">
        <v>-0.5</v>
      </c>
      <c r="D1175">
        <v>0.25</v>
      </c>
      <c r="E1175" s="4">
        <v>0</v>
      </c>
    </row>
    <row r="1176" spans="1:5" x14ac:dyDescent="0.35">
      <c r="A1176" s="1">
        <v>44640</v>
      </c>
      <c r="B1176" s="2">
        <v>44640</v>
      </c>
      <c r="C1176">
        <v>-0.5</v>
      </c>
      <c r="D1176">
        <v>0.25</v>
      </c>
      <c r="E1176" s="4">
        <v>0</v>
      </c>
    </row>
    <row r="1177" spans="1:5" x14ac:dyDescent="0.35">
      <c r="A1177" s="1">
        <v>44641</v>
      </c>
      <c r="B1177" s="2">
        <v>44641</v>
      </c>
      <c r="C1177">
        <v>-0.5</v>
      </c>
      <c r="D1177">
        <v>0.25</v>
      </c>
      <c r="E1177" s="4">
        <v>0</v>
      </c>
    </row>
    <row r="1178" spans="1:5" x14ac:dyDescent="0.35">
      <c r="A1178" s="1">
        <v>44642</v>
      </c>
      <c r="B1178" s="2">
        <v>44642</v>
      </c>
      <c r="C1178">
        <v>-0.5</v>
      </c>
      <c r="D1178">
        <v>0.25</v>
      </c>
      <c r="E1178" s="4">
        <v>0</v>
      </c>
    </row>
    <row r="1179" spans="1:5" x14ac:dyDescent="0.35">
      <c r="A1179" s="1">
        <v>44643</v>
      </c>
      <c r="B1179" s="2">
        <v>44643</v>
      </c>
      <c r="C1179">
        <v>-0.5</v>
      </c>
      <c r="D1179">
        <v>0.25</v>
      </c>
      <c r="E1179" s="4">
        <v>0</v>
      </c>
    </row>
    <row r="1180" spans="1:5" x14ac:dyDescent="0.35">
      <c r="A1180" s="1">
        <v>44644</v>
      </c>
      <c r="B1180" s="2">
        <v>44644</v>
      </c>
      <c r="C1180">
        <v>-0.5</v>
      </c>
      <c r="D1180">
        <v>0.25</v>
      </c>
      <c r="E1180" s="4">
        <v>0</v>
      </c>
    </row>
    <row r="1181" spans="1:5" x14ac:dyDescent="0.35">
      <c r="A1181" s="1">
        <v>44645</v>
      </c>
      <c r="B1181" s="2">
        <v>44645</v>
      </c>
      <c r="C1181">
        <v>-0.5</v>
      </c>
      <c r="D1181">
        <v>0.25</v>
      </c>
      <c r="E1181" s="4">
        <v>0</v>
      </c>
    </row>
    <row r="1182" spans="1:5" x14ac:dyDescent="0.35">
      <c r="A1182" s="1">
        <v>44646</v>
      </c>
      <c r="B1182" s="2">
        <v>44646</v>
      </c>
      <c r="C1182">
        <v>-0.5</v>
      </c>
      <c r="D1182">
        <v>0.25</v>
      </c>
      <c r="E1182" s="4">
        <v>0</v>
      </c>
    </row>
    <row r="1183" spans="1:5" x14ac:dyDescent="0.35">
      <c r="A1183" s="1">
        <v>44647</v>
      </c>
      <c r="B1183" s="2">
        <v>44647</v>
      </c>
      <c r="C1183">
        <v>-0.5</v>
      </c>
      <c r="D1183">
        <v>0.25</v>
      </c>
      <c r="E1183" s="4">
        <v>0</v>
      </c>
    </row>
    <row r="1184" spans="1:5" x14ac:dyDescent="0.35">
      <c r="A1184" s="1">
        <v>44648</v>
      </c>
      <c r="B1184" s="2">
        <v>44648</v>
      </c>
      <c r="C1184">
        <v>-0.5</v>
      </c>
      <c r="D1184">
        <v>0.25</v>
      </c>
      <c r="E1184" s="4">
        <v>0</v>
      </c>
    </row>
    <row r="1185" spans="1:5" x14ac:dyDescent="0.35">
      <c r="A1185" s="1">
        <v>44649</v>
      </c>
      <c r="B1185" s="2">
        <v>44649</v>
      </c>
      <c r="C1185">
        <v>-0.5</v>
      </c>
      <c r="D1185">
        <v>0.25</v>
      </c>
      <c r="E1185" s="4">
        <v>0</v>
      </c>
    </row>
    <row r="1186" spans="1:5" x14ac:dyDescent="0.35">
      <c r="A1186" s="1">
        <v>44650</v>
      </c>
      <c r="B1186" s="2">
        <v>44650</v>
      </c>
      <c r="C1186">
        <v>-0.5</v>
      </c>
      <c r="D1186">
        <v>0.25</v>
      </c>
      <c r="E1186" s="4">
        <v>0</v>
      </c>
    </row>
    <row r="1187" spans="1:5" x14ac:dyDescent="0.35">
      <c r="A1187" s="1">
        <v>44651</v>
      </c>
      <c r="B1187" s="2">
        <v>44651</v>
      </c>
      <c r="C1187">
        <v>-0.5</v>
      </c>
      <c r="D1187">
        <v>0.25</v>
      </c>
      <c r="E1187" s="4">
        <v>0</v>
      </c>
    </row>
    <row r="1188" spans="1:5" x14ac:dyDescent="0.35">
      <c r="A1188" s="1">
        <v>44652</v>
      </c>
      <c r="B1188" s="2">
        <v>44652</v>
      </c>
      <c r="C1188">
        <v>-0.5</v>
      </c>
      <c r="D1188">
        <v>0.25</v>
      </c>
      <c r="E1188" s="4">
        <v>0</v>
      </c>
    </row>
    <row r="1189" spans="1:5" x14ac:dyDescent="0.35">
      <c r="A1189" s="1">
        <v>44653</v>
      </c>
      <c r="B1189" s="2">
        <v>44653</v>
      </c>
      <c r="C1189">
        <v>-0.5</v>
      </c>
      <c r="D1189">
        <v>0.25</v>
      </c>
      <c r="E1189" s="4">
        <v>0</v>
      </c>
    </row>
    <row r="1190" spans="1:5" x14ac:dyDescent="0.35">
      <c r="A1190" s="1">
        <v>44654</v>
      </c>
      <c r="B1190" s="2">
        <v>44654</v>
      </c>
      <c r="C1190">
        <v>-0.5</v>
      </c>
      <c r="D1190">
        <v>0.25</v>
      </c>
      <c r="E1190" s="4">
        <v>0</v>
      </c>
    </row>
    <row r="1191" spans="1:5" x14ac:dyDescent="0.35">
      <c r="A1191" s="1">
        <v>44655</v>
      </c>
      <c r="B1191" s="2">
        <v>44655</v>
      </c>
      <c r="C1191">
        <v>-0.5</v>
      </c>
      <c r="D1191">
        <v>0.25</v>
      </c>
      <c r="E1191" s="4">
        <v>0</v>
      </c>
    </row>
    <row r="1192" spans="1:5" x14ac:dyDescent="0.35">
      <c r="A1192" s="1">
        <v>44656</v>
      </c>
      <c r="B1192" s="2">
        <v>44656</v>
      </c>
      <c r="C1192">
        <v>-0.5</v>
      </c>
      <c r="D1192">
        <v>0.25</v>
      </c>
      <c r="E1192" s="4">
        <v>0</v>
      </c>
    </row>
    <row r="1193" spans="1:5" x14ac:dyDescent="0.35">
      <c r="A1193" s="1">
        <v>44657</v>
      </c>
      <c r="B1193" s="2">
        <v>44657</v>
      </c>
      <c r="C1193">
        <v>-0.5</v>
      </c>
      <c r="D1193">
        <v>0.25</v>
      </c>
      <c r="E1193" s="4">
        <v>0</v>
      </c>
    </row>
    <row r="1194" spans="1:5" x14ac:dyDescent="0.35">
      <c r="A1194" s="1">
        <v>44658</v>
      </c>
      <c r="B1194" s="2">
        <v>44658</v>
      </c>
      <c r="C1194">
        <v>-0.5</v>
      </c>
      <c r="D1194">
        <v>0.25</v>
      </c>
      <c r="E1194" s="4">
        <v>0</v>
      </c>
    </row>
    <row r="1195" spans="1:5" x14ac:dyDescent="0.35">
      <c r="A1195" s="1">
        <v>44659</v>
      </c>
      <c r="B1195" s="2">
        <v>44659</v>
      </c>
      <c r="C1195">
        <v>-0.5</v>
      </c>
      <c r="D1195">
        <v>0.25</v>
      </c>
      <c r="E1195" s="4">
        <v>0</v>
      </c>
    </row>
    <row r="1196" spans="1:5" x14ac:dyDescent="0.35">
      <c r="A1196" s="1">
        <v>44660</v>
      </c>
      <c r="B1196" s="2">
        <v>44660</v>
      </c>
      <c r="C1196">
        <v>-0.5</v>
      </c>
      <c r="D1196">
        <v>0.25</v>
      </c>
      <c r="E1196" s="4">
        <v>0</v>
      </c>
    </row>
    <row r="1197" spans="1:5" x14ac:dyDescent="0.35">
      <c r="A1197" s="1">
        <v>44661</v>
      </c>
      <c r="B1197" s="2">
        <v>44661</v>
      </c>
      <c r="C1197">
        <v>-0.5</v>
      </c>
      <c r="D1197">
        <v>0.25</v>
      </c>
      <c r="E1197" s="4">
        <v>0</v>
      </c>
    </row>
    <row r="1198" spans="1:5" x14ac:dyDescent="0.35">
      <c r="A1198" s="1">
        <v>44662</v>
      </c>
      <c r="B1198" s="2">
        <v>44662</v>
      </c>
      <c r="C1198">
        <v>-0.5</v>
      </c>
      <c r="D1198">
        <v>0.25</v>
      </c>
      <c r="E1198" s="4">
        <v>0</v>
      </c>
    </row>
    <row r="1199" spans="1:5" x14ac:dyDescent="0.35">
      <c r="A1199" s="1">
        <v>44663</v>
      </c>
      <c r="B1199" s="2">
        <v>44663</v>
      </c>
      <c r="C1199">
        <v>-0.5</v>
      </c>
      <c r="D1199">
        <v>0.25</v>
      </c>
      <c r="E1199" s="4">
        <v>0</v>
      </c>
    </row>
    <row r="1200" spans="1:5" x14ac:dyDescent="0.35">
      <c r="A1200" s="1">
        <v>44664</v>
      </c>
      <c r="B1200" s="2">
        <v>44664</v>
      </c>
      <c r="C1200">
        <v>-0.5</v>
      </c>
      <c r="D1200">
        <v>0.25</v>
      </c>
      <c r="E1200" s="4">
        <v>0</v>
      </c>
    </row>
    <row r="1201" spans="1:5" x14ac:dyDescent="0.35">
      <c r="A1201" s="1">
        <v>44665</v>
      </c>
      <c r="B1201" s="2">
        <v>44665</v>
      </c>
      <c r="C1201">
        <v>-0.5</v>
      </c>
      <c r="D1201">
        <v>0.25</v>
      </c>
      <c r="E1201" s="4">
        <v>0</v>
      </c>
    </row>
    <row r="1202" spans="1:5" x14ac:dyDescent="0.35">
      <c r="A1202" s="1">
        <v>44666</v>
      </c>
      <c r="B1202" s="2">
        <v>44666</v>
      </c>
      <c r="C1202">
        <v>-0.5</v>
      </c>
      <c r="D1202">
        <v>0.25</v>
      </c>
      <c r="E1202" s="4">
        <v>0</v>
      </c>
    </row>
    <row r="1203" spans="1:5" x14ac:dyDescent="0.35">
      <c r="A1203" s="1">
        <v>44667</v>
      </c>
      <c r="B1203" s="2">
        <v>44667</v>
      </c>
      <c r="C1203">
        <v>-0.5</v>
      </c>
      <c r="D1203">
        <v>0.25</v>
      </c>
      <c r="E1203" s="4">
        <v>0</v>
      </c>
    </row>
    <row r="1204" spans="1:5" x14ac:dyDescent="0.35">
      <c r="A1204" s="1">
        <v>44668</v>
      </c>
      <c r="B1204" s="2">
        <v>44668</v>
      </c>
      <c r="C1204">
        <v>-0.5</v>
      </c>
      <c r="D1204">
        <v>0.25</v>
      </c>
      <c r="E1204" s="4">
        <v>0</v>
      </c>
    </row>
    <row r="1205" spans="1:5" x14ac:dyDescent="0.35">
      <c r="A1205" s="1">
        <v>44669</v>
      </c>
      <c r="B1205" s="2">
        <v>44669</v>
      </c>
      <c r="C1205">
        <v>-0.5</v>
      </c>
      <c r="D1205">
        <v>0.25</v>
      </c>
      <c r="E1205" s="4">
        <v>0</v>
      </c>
    </row>
    <row r="1206" spans="1:5" x14ac:dyDescent="0.35">
      <c r="A1206" s="1">
        <v>44670</v>
      </c>
      <c r="B1206" s="2">
        <v>44670</v>
      </c>
      <c r="C1206">
        <v>-0.5</v>
      </c>
      <c r="D1206">
        <v>0.25</v>
      </c>
      <c r="E1206" s="4">
        <v>0</v>
      </c>
    </row>
    <row r="1207" spans="1:5" x14ac:dyDescent="0.35">
      <c r="A1207" s="1">
        <v>44671</v>
      </c>
      <c r="B1207" s="2">
        <v>44671</v>
      </c>
      <c r="C1207">
        <v>-0.5</v>
      </c>
      <c r="D1207">
        <v>0.25</v>
      </c>
      <c r="E1207" s="4">
        <v>0</v>
      </c>
    </row>
    <row r="1208" spans="1:5" x14ac:dyDescent="0.35">
      <c r="A1208" s="1">
        <v>44672</v>
      </c>
      <c r="B1208" s="2">
        <v>44672</v>
      </c>
      <c r="C1208">
        <v>-0.5</v>
      </c>
      <c r="D1208">
        <v>0.25</v>
      </c>
      <c r="E1208" s="4">
        <v>0</v>
      </c>
    </row>
    <row r="1209" spans="1:5" x14ac:dyDescent="0.35">
      <c r="A1209" s="1">
        <v>44673</v>
      </c>
      <c r="B1209" s="2">
        <v>44673</v>
      </c>
      <c r="C1209">
        <v>-0.5</v>
      </c>
      <c r="D1209">
        <v>0.25</v>
      </c>
      <c r="E1209" s="4">
        <v>0</v>
      </c>
    </row>
    <row r="1210" spans="1:5" x14ac:dyDescent="0.35">
      <c r="A1210" s="1">
        <v>44674</v>
      </c>
      <c r="B1210" s="2">
        <v>44674</v>
      </c>
      <c r="C1210">
        <v>-0.5</v>
      </c>
      <c r="D1210">
        <v>0.25</v>
      </c>
      <c r="E1210" s="4">
        <v>0</v>
      </c>
    </row>
    <row r="1211" spans="1:5" x14ac:dyDescent="0.35">
      <c r="A1211" s="1">
        <v>44675</v>
      </c>
      <c r="B1211" s="2">
        <v>44675</v>
      </c>
      <c r="C1211">
        <v>-0.5</v>
      </c>
      <c r="D1211">
        <v>0.25</v>
      </c>
      <c r="E1211" s="4">
        <v>0</v>
      </c>
    </row>
    <row r="1212" spans="1:5" x14ac:dyDescent="0.35">
      <c r="A1212" s="1">
        <v>44676</v>
      </c>
      <c r="B1212" s="2">
        <v>44676</v>
      </c>
      <c r="C1212">
        <v>-0.5</v>
      </c>
      <c r="D1212">
        <v>0.25</v>
      </c>
      <c r="E1212" s="4">
        <v>0</v>
      </c>
    </row>
    <row r="1213" spans="1:5" x14ac:dyDescent="0.35">
      <c r="A1213" s="1">
        <v>44677</v>
      </c>
      <c r="B1213" s="2">
        <v>44677</v>
      </c>
      <c r="C1213">
        <v>-0.5</v>
      </c>
      <c r="D1213">
        <v>0.25</v>
      </c>
      <c r="E1213" s="4">
        <v>0</v>
      </c>
    </row>
    <row r="1214" spans="1:5" x14ac:dyDescent="0.35">
      <c r="A1214" s="1">
        <v>44678</v>
      </c>
      <c r="B1214" s="2">
        <v>44678</v>
      </c>
      <c r="C1214">
        <v>-0.5</v>
      </c>
      <c r="D1214">
        <v>0.25</v>
      </c>
      <c r="E1214" s="4">
        <v>0</v>
      </c>
    </row>
    <row r="1215" spans="1:5" x14ac:dyDescent="0.35">
      <c r="A1215" s="1">
        <v>44679</v>
      </c>
      <c r="B1215" s="2">
        <v>44679</v>
      </c>
      <c r="C1215">
        <v>-0.5</v>
      </c>
      <c r="D1215">
        <v>0.25</v>
      </c>
      <c r="E1215" s="4">
        <v>0</v>
      </c>
    </row>
    <row r="1216" spans="1:5" x14ac:dyDescent="0.35">
      <c r="A1216" s="1">
        <v>44680</v>
      </c>
      <c r="B1216" s="2">
        <v>44680</v>
      </c>
      <c r="C1216">
        <v>-0.5</v>
      </c>
      <c r="D1216">
        <v>0.25</v>
      </c>
      <c r="E1216" s="4">
        <v>0</v>
      </c>
    </row>
    <row r="1217" spans="1:5" x14ac:dyDescent="0.35">
      <c r="A1217" s="1">
        <v>44681</v>
      </c>
      <c r="B1217" s="2">
        <v>44681</v>
      </c>
      <c r="C1217">
        <v>-0.5</v>
      </c>
      <c r="D1217">
        <v>0.25</v>
      </c>
      <c r="E1217" s="4">
        <v>0</v>
      </c>
    </row>
    <row r="1218" spans="1:5" x14ac:dyDescent="0.35">
      <c r="A1218" s="1">
        <v>44682</v>
      </c>
      <c r="B1218" s="2">
        <v>44682</v>
      </c>
      <c r="C1218">
        <v>-0.5</v>
      </c>
      <c r="D1218">
        <v>0.25</v>
      </c>
      <c r="E1218" s="4">
        <v>0</v>
      </c>
    </row>
    <row r="1219" spans="1:5" x14ac:dyDescent="0.35">
      <c r="A1219" s="1">
        <v>44683</v>
      </c>
      <c r="B1219" s="2">
        <v>44683</v>
      </c>
      <c r="C1219">
        <v>-0.5</v>
      </c>
      <c r="D1219">
        <v>0.25</v>
      </c>
      <c r="E1219" s="4">
        <v>0</v>
      </c>
    </row>
    <row r="1220" spans="1:5" x14ac:dyDescent="0.35">
      <c r="A1220" s="1">
        <v>44684</v>
      </c>
      <c r="B1220" s="2">
        <v>44684</v>
      </c>
      <c r="C1220">
        <v>-0.5</v>
      </c>
      <c r="D1220">
        <v>0.25</v>
      </c>
      <c r="E1220" s="4">
        <v>0</v>
      </c>
    </row>
    <row r="1221" spans="1:5" x14ac:dyDescent="0.35">
      <c r="A1221" s="1">
        <v>44685</v>
      </c>
      <c r="B1221" s="2">
        <v>44685</v>
      </c>
      <c r="C1221">
        <v>-0.5</v>
      </c>
      <c r="D1221">
        <v>0.25</v>
      </c>
      <c r="E1221" s="4">
        <v>0</v>
      </c>
    </row>
    <row r="1222" spans="1:5" x14ac:dyDescent="0.35">
      <c r="A1222" s="1">
        <v>44686</v>
      </c>
      <c r="B1222" s="2">
        <v>44686</v>
      </c>
      <c r="C1222">
        <v>-0.5</v>
      </c>
      <c r="D1222">
        <v>0.25</v>
      </c>
      <c r="E1222" s="4">
        <v>0</v>
      </c>
    </row>
    <row r="1223" spans="1:5" x14ac:dyDescent="0.35">
      <c r="A1223" s="1">
        <v>44687</v>
      </c>
      <c r="B1223" s="2">
        <v>44687</v>
      </c>
      <c r="C1223">
        <v>-0.5</v>
      </c>
      <c r="D1223">
        <v>0.25</v>
      </c>
      <c r="E1223" s="4">
        <v>0</v>
      </c>
    </row>
    <row r="1224" spans="1:5" x14ac:dyDescent="0.35">
      <c r="A1224" s="1">
        <v>44688</v>
      </c>
      <c r="B1224" s="2">
        <v>44688</v>
      </c>
      <c r="C1224">
        <v>-0.5</v>
      </c>
      <c r="D1224">
        <v>0.25</v>
      </c>
      <c r="E1224" s="4">
        <v>0</v>
      </c>
    </row>
    <row r="1225" spans="1:5" x14ac:dyDescent="0.35">
      <c r="A1225" s="1">
        <v>44689</v>
      </c>
      <c r="B1225" s="2">
        <v>44689</v>
      </c>
      <c r="C1225">
        <v>-0.5</v>
      </c>
      <c r="D1225">
        <v>0.25</v>
      </c>
      <c r="E1225" s="4">
        <v>0</v>
      </c>
    </row>
    <row r="1226" spans="1:5" x14ac:dyDescent="0.35">
      <c r="A1226" s="1">
        <v>44690</v>
      </c>
      <c r="B1226" s="2">
        <v>44690</v>
      </c>
      <c r="C1226">
        <v>-0.5</v>
      </c>
      <c r="D1226">
        <v>0.25</v>
      </c>
      <c r="E1226" s="4">
        <v>0</v>
      </c>
    </row>
    <row r="1227" spans="1:5" x14ac:dyDescent="0.35">
      <c r="A1227" s="1">
        <v>44691</v>
      </c>
      <c r="B1227" s="2">
        <v>44691</v>
      </c>
      <c r="C1227">
        <v>-0.5</v>
      </c>
      <c r="D1227">
        <v>0.25</v>
      </c>
      <c r="E1227" s="4">
        <v>0</v>
      </c>
    </row>
    <row r="1228" spans="1:5" x14ac:dyDescent="0.35">
      <c r="A1228" s="1">
        <v>44692</v>
      </c>
      <c r="B1228" s="2">
        <v>44692</v>
      </c>
      <c r="C1228">
        <v>-0.5</v>
      </c>
      <c r="D1228">
        <v>0.25</v>
      </c>
      <c r="E1228" s="4">
        <v>0</v>
      </c>
    </row>
    <row r="1229" spans="1:5" x14ac:dyDescent="0.35">
      <c r="A1229" s="1">
        <v>44693</v>
      </c>
      <c r="B1229" s="2">
        <v>44693</v>
      </c>
      <c r="C1229">
        <v>-0.5</v>
      </c>
      <c r="D1229">
        <v>0.25</v>
      </c>
      <c r="E1229" s="4">
        <v>0</v>
      </c>
    </row>
    <row r="1230" spans="1:5" x14ac:dyDescent="0.35">
      <c r="A1230" s="1">
        <v>44694</v>
      </c>
      <c r="B1230" s="2">
        <v>44694</v>
      </c>
      <c r="C1230">
        <v>-0.5</v>
      </c>
      <c r="D1230">
        <v>0.25</v>
      </c>
      <c r="E1230" s="4">
        <v>0</v>
      </c>
    </row>
    <row r="1231" spans="1:5" x14ac:dyDescent="0.35">
      <c r="A1231" s="1">
        <v>44695</v>
      </c>
      <c r="B1231" s="2">
        <v>44695</v>
      </c>
      <c r="C1231">
        <v>-0.5</v>
      </c>
      <c r="D1231">
        <v>0.25</v>
      </c>
      <c r="E1231" s="4">
        <v>0</v>
      </c>
    </row>
    <row r="1232" spans="1:5" x14ac:dyDescent="0.35">
      <c r="A1232" s="1">
        <v>44696</v>
      </c>
      <c r="B1232" s="2">
        <v>44696</v>
      </c>
      <c r="C1232">
        <v>-0.5</v>
      </c>
      <c r="D1232">
        <v>0.25</v>
      </c>
      <c r="E1232" s="4">
        <v>0</v>
      </c>
    </row>
    <row r="1233" spans="1:5" x14ac:dyDescent="0.35">
      <c r="A1233" s="1">
        <v>44697</v>
      </c>
      <c r="B1233" s="2">
        <v>44697</v>
      </c>
      <c r="C1233">
        <v>-0.5</v>
      </c>
      <c r="D1233">
        <v>0.25</v>
      </c>
      <c r="E1233" s="4">
        <v>0</v>
      </c>
    </row>
    <row r="1234" spans="1:5" x14ac:dyDescent="0.35">
      <c r="A1234" s="1">
        <v>44698</v>
      </c>
      <c r="B1234" s="2">
        <v>44698</v>
      </c>
      <c r="C1234">
        <v>-0.5</v>
      </c>
      <c r="D1234">
        <v>0.25</v>
      </c>
      <c r="E1234" s="4">
        <v>0</v>
      </c>
    </row>
    <row r="1235" spans="1:5" x14ac:dyDescent="0.35">
      <c r="A1235" s="1">
        <v>44699</v>
      </c>
      <c r="B1235" s="2">
        <v>44699</v>
      </c>
      <c r="C1235">
        <v>-0.5</v>
      </c>
      <c r="D1235">
        <v>0.25</v>
      </c>
      <c r="E1235" s="4">
        <v>0</v>
      </c>
    </row>
    <row r="1236" spans="1:5" x14ac:dyDescent="0.35">
      <c r="A1236" s="1">
        <v>44700</v>
      </c>
      <c r="B1236" s="2">
        <v>44700</v>
      </c>
      <c r="C1236">
        <v>-0.5</v>
      </c>
      <c r="D1236">
        <v>0.25</v>
      </c>
      <c r="E1236" s="4">
        <v>0</v>
      </c>
    </row>
    <row r="1237" spans="1:5" x14ac:dyDescent="0.35">
      <c r="A1237" s="1">
        <v>44701</v>
      </c>
      <c r="B1237" s="2">
        <v>44701</v>
      </c>
      <c r="C1237">
        <v>-0.5</v>
      </c>
      <c r="D1237">
        <v>0.25</v>
      </c>
      <c r="E1237" s="4">
        <v>0</v>
      </c>
    </row>
    <row r="1238" spans="1:5" x14ac:dyDescent="0.35">
      <c r="A1238" s="1">
        <v>44702</v>
      </c>
      <c r="B1238" s="2">
        <v>44702</v>
      </c>
      <c r="C1238">
        <v>-0.5</v>
      </c>
      <c r="D1238">
        <v>0.25</v>
      </c>
      <c r="E1238" s="4">
        <v>0</v>
      </c>
    </row>
    <row r="1239" spans="1:5" x14ac:dyDescent="0.35">
      <c r="A1239" s="1">
        <v>44703</v>
      </c>
      <c r="B1239" s="2">
        <v>44703</v>
      </c>
      <c r="C1239">
        <v>-0.5</v>
      </c>
      <c r="D1239">
        <v>0.25</v>
      </c>
      <c r="E1239" s="4">
        <v>0</v>
      </c>
    </row>
    <row r="1240" spans="1:5" x14ac:dyDescent="0.35">
      <c r="A1240" s="1">
        <v>44704</v>
      </c>
      <c r="B1240" s="2">
        <v>44704</v>
      </c>
      <c r="C1240">
        <v>-0.5</v>
      </c>
      <c r="D1240">
        <v>0.25</v>
      </c>
      <c r="E1240" s="4">
        <v>0</v>
      </c>
    </row>
    <row r="1241" spans="1:5" x14ac:dyDescent="0.35">
      <c r="A1241" s="1">
        <v>44705</v>
      </c>
      <c r="B1241" s="2">
        <v>44705</v>
      </c>
      <c r="C1241">
        <v>-0.5</v>
      </c>
      <c r="D1241">
        <v>0.25</v>
      </c>
      <c r="E1241" s="4">
        <v>0</v>
      </c>
    </row>
    <row r="1242" spans="1:5" x14ac:dyDescent="0.35">
      <c r="A1242" s="1">
        <v>44706</v>
      </c>
      <c r="B1242" s="2">
        <v>44706</v>
      </c>
      <c r="C1242">
        <v>-0.5</v>
      </c>
      <c r="D1242">
        <v>0.25</v>
      </c>
      <c r="E1242" s="4">
        <v>0</v>
      </c>
    </row>
    <row r="1243" spans="1:5" x14ac:dyDescent="0.35">
      <c r="A1243" s="1">
        <v>44707</v>
      </c>
      <c r="B1243" s="2">
        <v>44707</v>
      </c>
      <c r="C1243">
        <v>-0.5</v>
      </c>
      <c r="D1243">
        <v>0.25</v>
      </c>
      <c r="E1243" s="4">
        <v>0</v>
      </c>
    </row>
    <row r="1244" spans="1:5" x14ac:dyDescent="0.35">
      <c r="A1244" s="1">
        <v>44708</v>
      </c>
      <c r="B1244" s="2">
        <v>44708</v>
      </c>
      <c r="C1244">
        <v>-0.5</v>
      </c>
      <c r="D1244">
        <v>0.25</v>
      </c>
      <c r="E1244" s="4">
        <v>0</v>
      </c>
    </row>
    <row r="1245" spans="1:5" x14ac:dyDescent="0.35">
      <c r="A1245" s="1">
        <v>44709</v>
      </c>
      <c r="B1245" s="2">
        <v>44709</v>
      </c>
      <c r="C1245">
        <v>-0.5</v>
      </c>
      <c r="D1245">
        <v>0.25</v>
      </c>
      <c r="E1245" s="4">
        <v>0</v>
      </c>
    </row>
    <row r="1246" spans="1:5" x14ac:dyDescent="0.35">
      <c r="A1246" s="1">
        <v>44710</v>
      </c>
      <c r="B1246" s="2">
        <v>44710</v>
      </c>
      <c r="C1246">
        <v>-0.5</v>
      </c>
      <c r="D1246">
        <v>0.25</v>
      </c>
      <c r="E1246" s="4">
        <v>0</v>
      </c>
    </row>
    <row r="1247" spans="1:5" x14ac:dyDescent="0.35">
      <c r="A1247" s="1">
        <v>44711</v>
      </c>
      <c r="B1247" s="2">
        <v>44711</v>
      </c>
      <c r="C1247">
        <v>-0.5</v>
      </c>
      <c r="D1247">
        <v>0.25</v>
      </c>
      <c r="E1247" s="4">
        <v>0</v>
      </c>
    </row>
    <row r="1248" spans="1:5" x14ac:dyDescent="0.35">
      <c r="A1248" s="1">
        <v>44712</v>
      </c>
      <c r="B1248" s="2">
        <v>44712</v>
      </c>
      <c r="C1248">
        <v>-0.5</v>
      </c>
      <c r="D1248">
        <v>0.25</v>
      </c>
      <c r="E1248" s="4">
        <v>0</v>
      </c>
    </row>
    <row r="1249" spans="1:5" x14ac:dyDescent="0.35">
      <c r="A1249" s="1">
        <v>44713</v>
      </c>
      <c r="B1249" s="2">
        <v>44713</v>
      </c>
      <c r="C1249">
        <v>-0.5</v>
      </c>
      <c r="D1249">
        <v>0.25</v>
      </c>
      <c r="E1249" s="4">
        <v>0</v>
      </c>
    </row>
    <row r="1250" spans="1:5" x14ac:dyDescent="0.35">
      <c r="A1250" s="1">
        <v>44714</v>
      </c>
      <c r="B1250" s="2">
        <v>44714</v>
      </c>
      <c r="C1250">
        <v>-0.5</v>
      </c>
      <c r="D1250">
        <v>0.25</v>
      </c>
      <c r="E1250" s="4">
        <v>0</v>
      </c>
    </row>
    <row r="1251" spans="1:5" x14ac:dyDescent="0.35">
      <c r="A1251" s="1">
        <v>44715</v>
      </c>
      <c r="B1251" s="2">
        <v>44715</v>
      </c>
      <c r="C1251">
        <v>-0.5</v>
      </c>
      <c r="D1251">
        <v>0.25</v>
      </c>
      <c r="E1251" s="4">
        <v>0</v>
      </c>
    </row>
    <row r="1252" spans="1:5" x14ac:dyDescent="0.35">
      <c r="A1252" s="1">
        <v>44716</v>
      </c>
      <c r="B1252" s="2">
        <v>44716</v>
      </c>
      <c r="C1252">
        <v>-0.5</v>
      </c>
      <c r="D1252">
        <v>0.25</v>
      </c>
      <c r="E1252" s="4">
        <v>0</v>
      </c>
    </row>
    <row r="1253" spans="1:5" x14ac:dyDescent="0.35">
      <c r="A1253" s="1">
        <v>44717</v>
      </c>
      <c r="B1253" s="2">
        <v>44717</v>
      </c>
      <c r="C1253">
        <v>-0.5</v>
      </c>
      <c r="D1253">
        <v>0.25</v>
      </c>
      <c r="E1253" s="4">
        <v>0</v>
      </c>
    </row>
    <row r="1254" spans="1:5" x14ac:dyDescent="0.35">
      <c r="A1254" s="1">
        <v>44718</v>
      </c>
      <c r="B1254" s="2">
        <v>44718</v>
      </c>
      <c r="C1254">
        <v>-0.5</v>
      </c>
      <c r="D1254">
        <v>0.25</v>
      </c>
      <c r="E1254" s="4">
        <v>0</v>
      </c>
    </row>
    <row r="1255" spans="1:5" x14ac:dyDescent="0.35">
      <c r="A1255" s="1">
        <v>44719</v>
      </c>
      <c r="B1255" s="2">
        <v>44719</v>
      </c>
      <c r="C1255">
        <v>-0.5</v>
      </c>
      <c r="D1255">
        <v>0.25</v>
      </c>
      <c r="E1255" s="4">
        <v>0</v>
      </c>
    </row>
    <row r="1256" spans="1:5" x14ac:dyDescent="0.35">
      <c r="A1256" s="1">
        <v>44720</v>
      </c>
      <c r="B1256" s="2">
        <v>44720</v>
      </c>
      <c r="C1256">
        <v>-0.5</v>
      </c>
      <c r="D1256">
        <v>0.25</v>
      </c>
      <c r="E1256" s="4">
        <v>0</v>
      </c>
    </row>
    <row r="1257" spans="1:5" x14ac:dyDescent="0.35">
      <c r="A1257" s="1">
        <v>44721</v>
      </c>
      <c r="B1257" s="2">
        <v>44721</v>
      </c>
      <c r="C1257">
        <v>-0.5</v>
      </c>
      <c r="D1257">
        <v>0.25</v>
      </c>
      <c r="E1257" s="4">
        <v>0</v>
      </c>
    </row>
    <row r="1258" spans="1:5" x14ac:dyDescent="0.35">
      <c r="A1258" s="1">
        <v>44722</v>
      </c>
      <c r="B1258" s="2">
        <v>44722</v>
      </c>
      <c r="C1258">
        <v>-0.5</v>
      </c>
      <c r="D1258">
        <v>0.25</v>
      </c>
      <c r="E1258" s="4">
        <v>0</v>
      </c>
    </row>
    <row r="1259" spans="1:5" x14ac:dyDescent="0.35">
      <c r="A1259" s="1">
        <v>44723</v>
      </c>
      <c r="B1259" s="2">
        <v>44723</v>
      </c>
      <c r="C1259">
        <v>-0.5</v>
      </c>
      <c r="D1259">
        <v>0.25</v>
      </c>
      <c r="E1259" s="4">
        <v>0</v>
      </c>
    </row>
    <row r="1260" spans="1:5" x14ac:dyDescent="0.35">
      <c r="A1260" s="1">
        <v>44724</v>
      </c>
      <c r="B1260" s="2">
        <v>44724</v>
      </c>
      <c r="C1260">
        <v>-0.5</v>
      </c>
      <c r="D1260">
        <v>0.25</v>
      </c>
      <c r="E1260" s="4">
        <v>0</v>
      </c>
    </row>
    <row r="1261" spans="1:5" x14ac:dyDescent="0.35">
      <c r="A1261" s="1">
        <v>44725</v>
      </c>
      <c r="B1261" s="2">
        <v>44725</v>
      </c>
      <c r="C1261">
        <v>-0.5</v>
      </c>
      <c r="D1261">
        <v>0.25</v>
      </c>
      <c r="E1261" s="4">
        <v>0</v>
      </c>
    </row>
    <row r="1262" spans="1:5" x14ac:dyDescent="0.35">
      <c r="A1262" s="1">
        <v>44726</v>
      </c>
      <c r="B1262" s="2">
        <v>44726</v>
      </c>
      <c r="C1262">
        <v>-0.5</v>
      </c>
      <c r="D1262">
        <v>0.25</v>
      </c>
      <c r="E1262" s="4">
        <v>0</v>
      </c>
    </row>
    <row r="1263" spans="1:5" x14ac:dyDescent="0.35">
      <c r="A1263" s="1">
        <v>44727</v>
      </c>
      <c r="B1263" s="2">
        <v>44727</v>
      </c>
      <c r="C1263">
        <v>-0.5</v>
      </c>
      <c r="D1263">
        <v>0.25</v>
      </c>
      <c r="E1263" s="4">
        <v>0</v>
      </c>
    </row>
    <row r="1264" spans="1:5" x14ac:dyDescent="0.35">
      <c r="A1264" s="1">
        <v>44728</v>
      </c>
      <c r="B1264" s="2">
        <v>44728</v>
      </c>
      <c r="C1264">
        <v>-0.5</v>
      </c>
      <c r="D1264">
        <v>0.25</v>
      </c>
      <c r="E1264" s="4">
        <v>0</v>
      </c>
    </row>
    <row r="1265" spans="1:5" x14ac:dyDescent="0.35">
      <c r="A1265" s="1">
        <v>44729</v>
      </c>
      <c r="B1265" s="2">
        <v>44729</v>
      </c>
      <c r="C1265">
        <v>-0.5</v>
      </c>
      <c r="D1265">
        <v>0.25</v>
      </c>
      <c r="E1265" s="4">
        <v>0</v>
      </c>
    </row>
    <row r="1266" spans="1:5" x14ac:dyDescent="0.35">
      <c r="A1266" s="1">
        <v>44730</v>
      </c>
      <c r="B1266" s="2">
        <v>44730</v>
      </c>
      <c r="C1266">
        <v>-0.5</v>
      </c>
      <c r="D1266">
        <v>0.25</v>
      </c>
      <c r="E1266" s="4">
        <v>0</v>
      </c>
    </row>
    <row r="1267" spans="1:5" x14ac:dyDescent="0.35">
      <c r="A1267" s="1">
        <v>44731</v>
      </c>
      <c r="B1267" s="2">
        <v>44731</v>
      </c>
      <c r="C1267">
        <v>-0.5</v>
      </c>
      <c r="D1267">
        <v>0.25</v>
      </c>
      <c r="E1267" s="4">
        <v>0</v>
      </c>
    </row>
    <row r="1268" spans="1:5" x14ac:dyDescent="0.35">
      <c r="A1268" s="1">
        <v>44732</v>
      </c>
      <c r="B1268" s="2">
        <v>44732</v>
      </c>
      <c r="C1268">
        <v>-0.5</v>
      </c>
      <c r="D1268">
        <v>0.25</v>
      </c>
      <c r="E1268" s="4">
        <v>0</v>
      </c>
    </row>
    <row r="1269" spans="1:5" x14ac:dyDescent="0.35">
      <c r="A1269" s="1">
        <v>44733</v>
      </c>
      <c r="B1269" s="2">
        <v>44733</v>
      </c>
      <c r="C1269">
        <v>-0.5</v>
      </c>
      <c r="D1269">
        <v>0.25</v>
      </c>
      <c r="E1269" s="4">
        <v>0</v>
      </c>
    </row>
    <row r="1270" spans="1:5" x14ac:dyDescent="0.35">
      <c r="A1270" s="1">
        <v>44734</v>
      </c>
      <c r="B1270" s="2">
        <v>44734</v>
      </c>
      <c r="C1270">
        <v>-0.5</v>
      </c>
      <c r="D1270">
        <v>0.25</v>
      </c>
      <c r="E1270" s="4">
        <v>0</v>
      </c>
    </row>
    <row r="1271" spans="1:5" x14ac:dyDescent="0.35">
      <c r="A1271" s="1">
        <v>44735</v>
      </c>
      <c r="B1271" s="2">
        <v>44735</v>
      </c>
      <c r="C1271">
        <v>-0.5</v>
      </c>
      <c r="D1271">
        <v>0.25</v>
      </c>
      <c r="E1271" s="4">
        <v>0</v>
      </c>
    </row>
    <row r="1272" spans="1:5" x14ac:dyDescent="0.35">
      <c r="A1272" s="1">
        <v>44736</v>
      </c>
      <c r="B1272" s="2">
        <v>44736</v>
      </c>
      <c r="C1272">
        <v>-0.5</v>
      </c>
      <c r="D1272">
        <v>0.25</v>
      </c>
      <c r="E1272" s="4">
        <v>0</v>
      </c>
    </row>
    <row r="1273" spans="1:5" x14ac:dyDescent="0.35">
      <c r="A1273" s="1">
        <v>44737</v>
      </c>
      <c r="B1273" s="2">
        <v>44737</v>
      </c>
      <c r="C1273">
        <v>-0.5</v>
      </c>
      <c r="D1273">
        <v>0.25</v>
      </c>
      <c r="E1273" s="4">
        <v>0</v>
      </c>
    </row>
    <row r="1274" spans="1:5" x14ac:dyDescent="0.35">
      <c r="A1274" s="1">
        <v>44738</v>
      </c>
      <c r="B1274" s="2">
        <v>44738</v>
      </c>
      <c r="C1274">
        <v>-0.5</v>
      </c>
      <c r="D1274">
        <v>0.25</v>
      </c>
      <c r="E1274" s="4">
        <v>0</v>
      </c>
    </row>
    <row r="1275" spans="1:5" x14ac:dyDescent="0.35">
      <c r="A1275" s="1">
        <v>44739</v>
      </c>
      <c r="B1275" s="2">
        <v>44739</v>
      </c>
      <c r="C1275">
        <v>-0.5</v>
      </c>
      <c r="D1275">
        <v>0.25</v>
      </c>
      <c r="E1275" s="4">
        <v>0</v>
      </c>
    </row>
    <row r="1276" spans="1:5" x14ac:dyDescent="0.35">
      <c r="A1276" s="1">
        <v>44740</v>
      </c>
      <c r="B1276" s="2">
        <v>44740</v>
      </c>
      <c r="C1276">
        <v>-0.5</v>
      </c>
      <c r="D1276">
        <v>0.25</v>
      </c>
      <c r="E1276" s="4">
        <v>0</v>
      </c>
    </row>
    <row r="1277" spans="1:5" x14ac:dyDescent="0.35">
      <c r="A1277" s="1">
        <v>44741</v>
      </c>
      <c r="B1277" s="2">
        <v>44741</v>
      </c>
      <c r="C1277">
        <v>-0.5</v>
      </c>
      <c r="D1277">
        <v>0.25</v>
      </c>
      <c r="E1277" s="4">
        <v>0</v>
      </c>
    </row>
    <row r="1278" spans="1:5" x14ac:dyDescent="0.35">
      <c r="A1278" s="1">
        <v>44742</v>
      </c>
      <c r="B1278" s="2">
        <v>44742</v>
      </c>
      <c r="C1278">
        <v>-0.5</v>
      </c>
      <c r="D1278">
        <v>0.25</v>
      </c>
      <c r="E1278" s="4">
        <v>0</v>
      </c>
    </row>
    <row r="1279" spans="1:5" x14ac:dyDescent="0.35">
      <c r="A1279" s="1">
        <v>44743</v>
      </c>
      <c r="B1279" s="2">
        <v>44743</v>
      </c>
      <c r="C1279">
        <v>-0.5</v>
      </c>
      <c r="D1279">
        <v>0.25</v>
      </c>
      <c r="E1279" s="4">
        <v>0</v>
      </c>
    </row>
    <row r="1280" spans="1:5" x14ac:dyDescent="0.35">
      <c r="A1280" s="1">
        <v>44744</v>
      </c>
      <c r="B1280" s="2">
        <v>44744</v>
      </c>
      <c r="C1280">
        <v>-0.5</v>
      </c>
      <c r="D1280">
        <v>0.25</v>
      </c>
      <c r="E1280" s="4">
        <v>0</v>
      </c>
    </row>
    <row r="1281" spans="1:5" x14ac:dyDescent="0.35">
      <c r="A1281" s="1">
        <v>44745</v>
      </c>
      <c r="B1281" s="2">
        <v>44745</v>
      </c>
      <c r="C1281">
        <v>-0.5</v>
      </c>
      <c r="D1281">
        <v>0.25</v>
      </c>
      <c r="E1281" s="4">
        <v>0</v>
      </c>
    </row>
    <row r="1282" spans="1:5" x14ac:dyDescent="0.35">
      <c r="A1282" s="1">
        <v>44746</v>
      </c>
      <c r="B1282" s="2">
        <v>44746</v>
      </c>
      <c r="C1282">
        <v>-0.5</v>
      </c>
      <c r="D1282">
        <v>0.25</v>
      </c>
      <c r="E1282" s="4">
        <v>0</v>
      </c>
    </row>
    <row r="1283" spans="1:5" x14ac:dyDescent="0.35">
      <c r="A1283" s="1">
        <v>44747</v>
      </c>
      <c r="B1283" s="2">
        <v>44747</v>
      </c>
      <c r="C1283">
        <v>-0.5</v>
      </c>
      <c r="D1283">
        <v>0.25</v>
      </c>
      <c r="E1283" s="4">
        <v>0</v>
      </c>
    </row>
    <row r="1284" spans="1:5" x14ac:dyDescent="0.35">
      <c r="A1284" s="1">
        <v>44748</v>
      </c>
      <c r="B1284" s="2">
        <v>44748</v>
      </c>
      <c r="C1284">
        <v>-0.5</v>
      </c>
      <c r="D1284">
        <v>0.25</v>
      </c>
      <c r="E1284" s="4">
        <v>0</v>
      </c>
    </row>
    <row r="1285" spans="1:5" x14ac:dyDescent="0.35">
      <c r="A1285" s="1">
        <v>44749</v>
      </c>
      <c r="B1285" s="2">
        <v>44749</v>
      </c>
      <c r="C1285">
        <v>-0.5</v>
      </c>
      <c r="D1285">
        <v>0.25</v>
      </c>
      <c r="E1285" s="4">
        <v>0</v>
      </c>
    </row>
    <row r="1286" spans="1:5" x14ac:dyDescent="0.35">
      <c r="A1286" s="1">
        <v>44750</v>
      </c>
      <c r="B1286" s="2">
        <v>44750</v>
      </c>
      <c r="C1286">
        <v>-0.5</v>
      </c>
      <c r="D1286">
        <v>0.25</v>
      </c>
      <c r="E1286" s="4">
        <v>0</v>
      </c>
    </row>
    <row r="1287" spans="1:5" x14ac:dyDescent="0.35">
      <c r="A1287" s="1">
        <v>44751</v>
      </c>
      <c r="B1287" s="2">
        <v>44751</v>
      </c>
      <c r="C1287">
        <v>-0.5</v>
      </c>
      <c r="D1287">
        <v>0.25</v>
      </c>
      <c r="E1287" s="4">
        <v>0</v>
      </c>
    </row>
    <row r="1288" spans="1:5" x14ac:dyDescent="0.35">
      <c r="A1288" s="1">
        <v>44752</v>
      </c>
      <c r="B1288" s="2">
        <v>44752</v>
      </c>
      <c r="C1288">
        <v>-0.5</v>
      </c>
      <c r="D1288">
        <v>0.25</v>
      </c>
      <c r="E1288" s="4">
        <v>0</v>
      </c>
    </row>
    <row r="1289" spans="1:5" x14ac:dyDescent="0.35">
      <c r="A1289" s="1">
        <v>44753</v>
      </c>
      <c r="B1289" s="2">
        <v>44753</v>
      </c>
      <c r="C1289">
        <v>-0.5</v>
      </c>
      <c r="D1289">
        <v>0.25</v>
      </c>
      <c r="E1289" s="4">
        <v>0</v>
      </c>
    </row>
    <row r="1290" spans="1:5" x14ac:dyDescent="0.35">
      <c r="A1290" s="1">
        <v>44754</v>
      </c>
      <c r="B1290" s="2">
        <v>44754</v>
      </c>
      <c r="C1290">
        <v>-0.5</v>
      </c>
      <c r="D1290">
        <v>0.25</v>
      </c>
      <c r="E1290" s="4">
        <v>0</v>
      </c>
    </row>
    <row r="1291" spans="1:5" x14ac:dyDescent="0.35">
      <c r="A1291" s="1">
        <v>44755</v>
      </c>
      <c r="B1291" s="2">
        <v>44755</v>
      </c>
      <c r="C1291">
        <v>-0.5</v>
      </c>
      <c r="D1291">
        <v>0.25</v>
      </c>
      <c r="E1291" s="4">
        <v>0</v>
      </c>
    </row>
    <row r="1292" spans="1:5" x14ac:dyDescent="0.35">
      <c r="A1292" s="1">
        <v>44756</v>
      </c>
      <c r="B1292" s="2">
        <v>44756</v>
      </c>
      <c r="C1292">
        <v>-0.5</v>
      </c>
      <c r="D1292">
        <v>0.25</v>
      </c>
      <c r="E1292" s="4">
        <v>0</v>
      </c>
    </row>
    <row r="1293" spans="1:5" x14ac:dyDescent="0.35">
      <c r="A1293" s="1">
        <v>44757</v>
      </c>
      <c r="B1293" s="2">
        <v>44757</v>
      </c>
      <c r="C1293">
        <v>-0.5</v>
      </c>
      <c r="D1293">
        <v>0.25</v>
      </c>
      <c r="E1293" s="4">
        <v>0</v>
      </c>
    </row>
    <row r="1294" spans="1:5" x14ac:dyDescent="0.35">
      <c r="A1294" s="1">
        <v>44758</v>
      </c>
      <c r="B1294" s="2">
        <v>44758</v>
      </c>
      <c r="C1294">
        <v>-0.5</v>
      </c>
      <c r="D1294">
        <v>0.25</v>
      </c>
      <c r="E1294" s="4">
        <v>0</v>
      </c>
    </row>
    <row r="1295" spans="1:5" x14ac:dyDescent="0.35">
      <c r="A1295" s="1">
        <v>44759</v>
      </c>
      <c r="B1295" s="2">
        <v>44759</v>
      </c>
      <c r="C1295">
        <v>-0.5</v>
      </c>
      <c r="D1295">
        <v>0.25</v>
      </c>
      <c r="E1295" s="4">
        <v>0</v>
      </c>
    </row>
    <row r="1296" spans="1:5" x14ac:dyDescent="0.35">
      <c r="A1296" s="1">
        <v>44760</v>
      </c>
      <c r="B1296" s="2">
        <v>44760</v>
      </c>
      <c r="C1296">
        <v>-0.5</v>
      </c>
      <c r="D1296">
        <v>0.25</v>
      </c>
      <c r="E1296" s="4">
        <v>0</v>
      </c>
    </row>
    <row r="1297" spans="1:5" x14ac:dyDescent="0.35">
      <c r="A1297" s="1">
        <v>44761</v>
      </c>
      <c r="B1297" s="2">
        <v>44761</v>
      </c>
      <c r="C1297">
        <v>-0.5</v>
      </c>
      <c r="D1297">
        <v>0.25</v>
      </c>
      <c r="E1297" s="4">
        <v>0</v>
      </c>
    </row>
    <row r="1298" spans="1:5" x14ac:dyDescent="0.35">
      <c r="A1298" s="1">
        <v>44762</v>
      </c>
      <c r="B1298" s="2">
        <v>44762</v>
      </c>
      <c r="C1298">
        <v>-0.5</v>
      </c>
      <c r="D1298">
        <v>0.25</v>
      </c>
      <c r="E1298" s="4">
        <v>0</v>
      </c>
    </row>
    <row r="1299" spans="1:5" x14ac:dyDescent="0.35">
      <c r="A1299" s="1">
        <v>44763</v>
      </c>
      <c r="B1299" s="2">
        <v>44763</v>
      </c>
      <c r="C1299">
        <v>-0.5</v>
      </c>
      <c r="D1299">
        <v>0.25</v>
      </c>
      <c r="E1299" s="4">
        <v>0</v>
      </c>
    </row>
    <row r="1300" spans="1:5" x14ac:dyDescent="0.35">
      <c r="A1300" s="1">
        <v>44764</v>
      </c>
      <c r="B1300" s="2">
        <v>44764</v>
      </c>
      <c r="C1300">
        <v>-0.5</v>
      </c>
      <c r="D1300">
        <v>0.25</v>
      </c>
      <c r="E1300" s="4">
        <v>0</v>
      </c>
    </row>
    <row r="1301" spans="1:5" x14ac:dyDescent="0.35">
      <c r="A1301" s="1">
        <v>44765</v>
      </c>
      <c r="B1301" s="2">
        <v>44765</v>
      </c>
      <c r="C1301">
        <v>-0.5</v>
      </c>
      <c r="D1301">
        <v>0.25</v>
      </c>
      <c r="E1301" s="4">
        <v>0</v>
      </c>
    </row>
    <row r="1302" spans="1:5" x14ac:dyDescent="0.35">
      <c r="A1302" s="1">
        <v>44766</v>
      </c>
      <c r="B1302" s="2">
        <v>44766</v>
      </c>
      <c r="C1302">
        <v>-0.5</v>
      </c>
      <c r="D1302">
        <v>0.25</v>
      </c>
      <c r="E1302" s="4">
        <v>0</v>
      </c>
    </row>
    <row r="1303" spans="1:5" x14ac:dyDescent="0.35">
      <c r="A1303" s="1">
        <v>44767</v>
      </c>
      <c r="B1303" s="2">
        <v>44767</v>
      </c>
      <c r="C1303">
        <v>-0.5</v>
      </c>
      <c r="D1303">
        <v>0.25</v>
      </c>
      <c r="E1303" s="4">
        <v>0</v>
      </c>
    </row>
    <row r="1304" spans="1:5" x14ac:dyDescent="0.35">
      <c r="A1304" s="1">
        <v>44768</v>
      </c>
      <c r="B1304" s="2">
        <v>44768</v>
      </c>
      <c r="C1304">
        <v>-0.5</v>
      </c>
      <c r="D1304">
        <v>0.25</v>
      </c>
      <c r="E1304" s="4">
        <v>0</v>
      </c>
    </row>
    <row r="1305" spans="1:5" x14ac:dyDescent="0.35">
      <c r="A1305" s="1">
        <v>44769</v>
      </c>
      <c r="B1305" s="2">
        <v>44769</v>
      </c>
      <c r="C1305" s="3">
        <v>0</v>
      </c>
      <c r="D1305">
        <v>0.75</v>
      </c>
      <c r="E1305" s="4">
        <v>0.5</v>
      </c>
    </row>
    <row r="1306" spans="1:5" x14ac:dyDescent="0.35">
      <c r="A1306" s="1">
        <v>44770</v>
      </c>
      <c r="B1306" s="2">
        <v>44770</v>
      </c>
      <c r="C1306" s="3">
        <v>0</v>
      </c>
      <c r="D1306">
        <v>0.75</v>
      </c>
      <c r="E1306" s="4">
        <v>0.5</v>
      </c>
    </row>
    <row r="1307" spans="1:5" x14ac:dyDescent="0.35">
      <c r="A1307" s="1">
        <v>44771</v>
      </c>
      <c r="B1307" s="2">
        <v>44771</v>
      </c>
      <c r="C1307" s="3">
        <v>0</v>
      </c>
      <c r="D1307">
        <v>0.75</v>
      </c>
      <c r="E1307" s="4">
        <v>0.5</v>
      </c>
    </row>
    <row r="1308" spans="1:5" x14ac:dyDescent="0.35">
      <c r="A1308" s="1">
        <v>44772</v>
      </c>
      <c r="B1308" s="2">
        <v>44772</v>
      </c>
      <c r="C1308" s="3">
        <v>0</v>
      </c>
      <c r="D1308">
        <v>0.75</v>
      </c>
      <c r="E1308" s="4">
        <v>0.5</v>
      </c>
    </row>
    <row r="1309" spans="1:5" x14ac:dyDescent="0.35">
      <c r="A1309" s="1">
        <v>44773</v>
      </c>
      <c r="B1309" s="2">
        <v>44773</v>
      </c>
      <c r="C1309" s="3">
        <v>0</v>
      </c>
      <c r="D1309">
        <v>0.75</v>
      </c>
      <c r="E1309" s="4">
        <v>0.5</v>
      </c>
    </row>
    <row r="1310" spans="1:5" x14ac:dyDescent="0.35">
      <c r="A1310" s="1">
        <v>44774</v>
      </c>
      <c r="B1310" s="2">
        <v>44774</v>
      </c>
      <c r="C1310" s="3">
        <v>0</v>
      </c>
      <c r="D1310">
        <v>0.75</v>
      </c>
      <c r="E1310" s="4">
        <v>0.5</v>
      </c>
    </row>
    <row r="1311" spans="1:5" x14ac:dyDescent="0.35">
      <c r="A1311" s="1">
        <v>44775</v>
      </c>
      <c r="B1311" s="2">
        <v>44775</v>
      </c>
      <c r="C1311" s="3">
        <v>0</v>
      </c>
      <c r="D1311">
        <v>0.75</v>
      </c>
      <c r="E1311" s="4">
        <v>0.5</v>
      </c>
    </row>
    <row r="1312" spans="1:5" x14ac:dyDescent="0.35">
      <c r="A1312" s="1">
        <v>44776</v>
      </c>
      <c r="B1312" s="2">
        <v>44776</v>
      </c>
      <c r="C1312" s="3">
        <v>0</v>
      </c>
      <c r="D1312">
        <v>0.75</v>
      </c>
      <c r="E1312" s="4">
        <v>0.5</v>
      </c>
    </row>
    <row r="1313" spans="1:5" x14ac:dyDescent="0.35">
      <c r="A1313" s="1">
        <v>44777</v>
      </c>
      <c r="B1313" s="2">
        <v>44777</v>
      </c>
      <c r="C1313" s="3">
        <v>0</v>
      </c>
      <c r="D1313">
        <v>0.75</v>
      </c>
      <c r="E1313" s="4">
        <v>0.5</v>
      </c>
    </row>
    <row r="1314" spans="1:5" x14ac:dyDescent="0.35">
      <c r="A1314" s="1">
        <v>44778</v>
      </c>
      <c r="B1314" s="2">
        <v>44778</v>
      </c>
      <c r="C1314" s="3">
        <v>0</v>
      </c>
      <c r="D1314">
        <v>0.75</v>
      </c>
      <c r="E1314" s="4">
        <v>0.5</v>
      </c>
    </row>
    <row r="1315" spans="1:5" x14ac:dyDescent="0.35">
      <c r="A1315" s="1">
        <v>44779</v>
      </c>
      <c r="B1315" s="2">
        <v>44779</v>
      </c>
      <c r="C1315" s="3">
        <v>0</v>
      </c>
      <c r="D1315">
        <v>0.75</v>
      </c>
      <c r="E1315" s="4">
        <v>0.5</v>
      </c>
    </row>
    <row r="1316" spans="1:5" x14ac:dyDescent="0.35">
      <c r="A1316" s="1">
        <v>44780</v>
      </c>
      <c r="B1316" s="2">
        <v>44780</v>
      </c>
      <c r="C1316" s="3">
        <v>0</v>
      </c>
      <c r="D1316">
        <v>0.75</v>
      </c>
      <c r="E1316" s="4">
        <v>0.5</v>
      </c>
    </row>
    <row r="1317" spans="1:5" x14ac:dyDescent="0.35">
      <c r="A1317" s="1">
        <v>44781</v>
      </c>
      <c r="B1317" s="2">
        <v>44781</v>
      </c>
      <c r="C1317" s="3">
        <v>0</v>
      </c>
      <c r="D1317">
        <v>0.75</v>
      </c>
      <c r="E1317" s="4">
        <v>0.5</v>
      </c>
    </row>
    <row r="1318" spans="1:5" x14ac:dyDescent="0.35">
      <c r="A1318" s="1">
        <v>44782</v>
      </c>
      <c r="B1318" s="2">
        <v>44782</v>
      </c>
      <c r="C1318" s="3">
        <v>0</v>
      </c>
      <c r="D1318">
        <v>0.75</v>
      </c>
      <c r="E1318" s="4">
        <v>0.5</v>
      </c>
    </row>
    <row r="1319" spans="1:5" x14ac:dyDescent="0.35">
      <c r="A1319" s="1">
        <v>44783</v>
      </c>
      <c r="B1319" s="2">
        <v>44783</v>
      </c>
      <c r="C1319" s="3">
        <v>0</v>
      </c>
      <c r="D1319">
        <v>0.75</v>
      </c>
      <c r="E1319" s="4">
        <v>0.5</v>
      </c>
    </row>
    <row r="1320" spans="1:5" x14ac:dyDescent="0.35">
      <c r="A1320" s="1">
        <v>44784</v>
      </c>
      <c r="B1320" s="2">
        <v>44784</v>
      </c>
      <c r="C1320" s="3">
        <v>0</v>
      </c>
      <c r="D1320">
        <v>0.75</v>
      </c>
      <c r="E1320" s="4">
        <v>0.5</v>
      </c>
    </row>
    <row r="1321" spans="1:5" x14ac:dyDescent="0.35">
      <c r="A1321" s="1">
        <v>44785</v>
      </c>
      <c r="B1321" s="2">
        <v>44785</v>
      </c>
      <c r="C1321" s="3">
        <v>0</v>
      </c>
      <c r="D1321">
        <v>0.75</v>
      </c>
      <c r="E1321" s="4">
        <v>0.5</v>
      </c>
    </row>
    <row r="1322" spans="1:5" x14ac:dyDescent="0.35">
      <c r="A1322" s="1">
        <v>44786</v>
      </c>
      <c r="B1322" s="2">
        <v>44786</v>
      </c>
      <c r="C1322" s="3">
        <v>0</v>
      </c>
      <c r="D1322">
        <v>0.75</v>
      </c>
      <c r="E1322" s="4">
        <v>0.5</v>
      </c>
    </row>
    <row r="1323" spans="1:5" x14ac:dyDescent="0.35">
      <c r="A1323" s="1">
        <v>44787</v>
      </c>
      <c r="B1323" s="2">
        <v>44787</v>
      </c>
      <c r="C1323" s="3">
        <v>0</v>
      </c>
      <c r="D1323">
        <v>0.75</v>
      </c>
      <c r="E1323" s="4">
        <v>0.5</v>
      </c>
    </row>
    <row r="1324" spans="1:5" x14ac:dyDescent="0.35">
      <c r="A1324" s="1">
        <v>44788</v>
      </c>
      <c r="B1324" s="2">
        <v>44788</v>
      </c>
      <c r="C1324" s="3">
        <v>0</v>
      </c>
      <c r="D1324">
        <v>0.75</v>
      </c>
      <c r="E1324" s="4">
        <v>0.5</v>
      </c>
    </row>
    <row r="1325" spans="1:5" x14ac:dyDescent="0.35">
      <c r="A1325" s="1">
        <v>44789</v>
      </c>
      <c r="B1325" s="2">
        <v>44789</v>
      </c>
      <c r="C1325" s="3">
        <v>0</v>
      </c>
      <c r="D1325">
        <v>0.75</v>
      </c>
      <c r="E1325" s="4">
        <v>0.5</v>
      </c>
    </row>
    <row r="1326" spans="1:5" x14ac:dyDescent="0.35">
      <c r="A1326" s="1">
        <v>44790</v>
      </c>
      <c r="B1326" s="2">
        <v>44790</v>
      </c>
      <c r="C1326" s="3">
        <v>0</v>
      </c>
      <c r="D1326">
        <v>0.75</v>
      </c>
      <c r="E1326" s="4">
        <v>0.5</v>
      </c>
    </row>
    <row r="1327" spans="1:5" x14ac:dyDescent="0.35">
      <c r="A1327" s="1">
        <v>44791</v>
      </c>
      <c r="B1327" s="2">
        <v>44791</v>
      </c>
      <c r="C1327" s="3">
        <v>0</v>
      </c>
      <c r="D1327">
        <v>0.75</v>
      </c>
      <c r="E1327" s="4">
        <v>0.5</v>
      </c>
    </row>
    <row r="1328" spans="1:5" x14ac:dyDescent="0.35">
      <c r="A1328" s="1">
        <v>44792</v>
      </c>
      <c r="B1328" s="2">
        <v>44792</v>
      </c>
      <c r="C1328" s="3">
        <v>0</v>
      </c>
      <c r="D1328">
        <v>0.75</v>
      </c>
      <c r="E1328" s="4">
        <v>0.5</v>
      </c>
    </row>
    <row r="1329" spans="1:5" x14ac:dyDescent="0.35">
      <c r="A1329" s="1">
        <v>44793</v>
      </c>
      <c r="B1329" s="2">
        <v>44793</v>
      </c>
      <c r="C1329" s="3">
        <v>0</v>
      </c>
      <c r="D1329">
        <v>0.75</v>
      </c>
      <c r="E1329" s="4">
        <v>0.5</v>
      </c>
    </row>
    <row r="1330" spans="1:5" x14ac:dyDescent="0.35">
      <c r="A1330" s="1">
        <v>44794</v>
      </c>
      <c r="B1330" s="2">
        <v>44794</v>
      </c>
      <c r="C1330" s="3">
        <v>0</v>
      </c>
      <c r="D1330">
        <v>0.75</v>
      </c>
      <c r="E1330" s="4">
        <v>0.5</v>
      </c>
    </row>
    <row r="1331" spans="1:5" x14ac:dyDescent="0.35">
      <c r="A1331" s="1">
        <v>44795</v>
      </c>
      <c r="B1331" s="2">
        <v>44795</v>
      </c>
      <c r="C1331" s="3">
        <v>0</v>
      </c>
      <c r="D1331">
        <v>0.75</v>
      </c>
      <c r="E1331" s="4">
        <v>0.5</v>
      </c>
    </row>
    <row r="1332" spans="1:5" x14ac:dyDescent="0.35">
      <c r="A1332" s="1">
        <v>44796</v>
      </c>
      <c r="B1332" s="2">
        <v>44796</v>
      </c>
      <c r="C1332" s="3">
        <v>0</v>
      </c>
      <c r="D1332">
        <v>0.75</v>
      </c>
      <c r="E1332" s="4">
        <v>0.5</v>
      </c>
    </row>
    <row r="1333" spans="1:5" x14ac:dyDescent="0.35">
      <c r="A1333" s="1">
        <v>44797</v>
      </c>
      <c r="B1333" s="2">
        <v>44797</v>
      </c>
      <c r="C1333" s="3">
        <v>0</v>
      </c>
      <c r="D1333">
        <v>0.75</v>
      </c>
      <c r="E1333" s="4">
        <v>0.5</v>
      </c>
    </row>
    <row r="1334" spans="1:5" x14ac:dyDescent="0.35">
      <c r="A1334" s="1">
        <v>44798</v>
      </c>
      <c r="B1334" s="2">
        <v>44798</v>
      </c>
      <c r="C1334" s="3">
        <v>0</v>
      </c>
      <c r="D1334">
        <v>0.75</v>
      </c>
      <c r="E1334" s="4">
        <v>0.5</v>
      </c>
    </row>
    <row r="1335" spans="1:5" x14ac:dyDescent="0.35">
      <c r="A1335" s="1">
        <v>44799</v>
      </c>
      <c r="B1335" s="2">
        <v>44799</v>
      </c>
      <c r="C1335" s="3">
        <v>0</v>
      </c>
      <c r="D1335">
        <v>0.75</v>
      </c>
      <c r="E1335" s="4">
        <v>0.5</v>
      </c>
    </row>
    <row r="1336" spans="1:5" x14ac:dyDescent="0.35">
      <c r="A1336" s="1">
        <v>44800</v>
      </c>
      <c r="B1336" s="2">
        <v>44800</v>
      </c>
      <c r="C1336" s="3">
        <v>0</v>
      </c>
      <c r="D1336">
        <v>0.75</v>
      </c>
      <c r="E1336" s="4">
        <v>0.5</v>
      </c>
    </row>
    <row r="1337" spans="1:5" x14ac:dyDescent="0.35">
      <c r="A1337" s="1">
        <v>44801</v>
      </c>
      <c r="B1337" s="2">
        <v>44801</v>
      </c>
      <c r="C1337" s="3">
        <v>0</v>
      </c>
      <c r="D1337">
        <v>0.75</v>
      </c>
      <c r="E1337" s="4">
        <v>0.5</v>
      </c>
    </row>
    <row r="1338" spans="1:5" x14ac:dyDescent="0.35">
      <c r="A1338" s="1">
        <v>44802</v>
      </c>
      <c r="B1338" s="2">
        <v>44802</v>
      </c>
      <c r="C1338" s="3">
        <v>0</v>
      </c>
      <c r="D1338">
        <v>0.75</v>
      </c>
      <c r="E1338" s="4">
        <v>0.5</v>
      </c>
    </row>
    <row r="1339" spans="1:5" x14ac:dyDescent="0.35">
      <c r="A1339" s="1">
        <v>44803</v>
      </c>
      <c r="B1339" s="2">
        <v>44803</v>
      </c>
      <c r="C1339" s="3">
        <v>0</v>
      </c>
      <c r="D1339">
        <v>0.75</v>
      </c>
      <c r="E1339" s="4">
        <v>0.5</v>
      </c>
    </row>
    <row r="1340" spans="1:5" x14ac:dyDescent="0.35">
      <c r="A1340" s="1">
        <v>44804</v>
      </c>
      <c r="B1340" s="2">
        <v>44804</v>
      </c>
      <c r="C1340" s="3">
        <v>0</v>
      </c>
      <c r="D1340">
        <v>0.75</v>
      </c>
      <c r="E1340" s="4">
        <v>0.5</v>
      </c>
    </row>
    <row r="1341" spans="1:5" x14ac:dyDescent="0.35">
      <c r="A1341" s="1">
        <v>44805</v>
      </c>
      <c r="B1341" s="2">
        <v>44805</v>
      </c>
      <c r="C1341" s="3">
        <v>0</v>
      </c>
      <c r="D1341">
        <v>0.75</v>
      </c>
      <c r="E1341" s="4">
        <v>0.5</v>
      </c>
    </row>
    <row r="1342" spans="1:5" x14ac:dyDescent="0.35">
      <c r="A1342" s="1">
        <v>44806</v>
      </c>
      <c r="B1342" s="2">
        <v>44806</v>
      </c>
      <c r="C1342" s="3">
        <v>0</v>
      </c>
      <c r="D1342">
        <v>0.75</v>
      </c>
      <c r="E1342" s="4">
        <v>0.5</v>
      </c>
    </row>
    <row r="1343" spans="1:5" x14ac:dyDescent="0.35">
      <c r="A1343" s="1">
        <v>44807</v>
      </c>
      <c r="B1343" s="2">
        <v>44807</v>
      </c>
      <c r="C1343" s="3">
        <v>0</v>
      </c>
      <c r="D1343">
        <v>0.75</v>
      </c>
      <c r="E1343" s="4">
        <v>0.5</v>
      </c>
    </row>
    <row r="1344" spans="1:5" x14ac:dyDescent="0.35">
      <c r="A1344" s="1">
        <v>44808</v>
      </c>
      <c r="B1344" s="2">
        <v>44808</v>
      </c>
      <c r="C1344" s="3">
        <v>0</v>
      </c>
      <c r="D1344">
        <v>0.75</v>
      </c>
      <c r="E1344" s="4">
        <v>0.5</v>
      </c>
    </row>
    <row r="1345" spans="1:5" x14ac:dyDescent="0.35">
      <c r="A1345" s="1">
        <v>44809</v>
      </c>
      <c r="B1345" s="2">
        <v>44809</v>
      </c>
      <c r="C1345" s="3">
        <v>0</v>
      </c>
      <c r="D1345">
        <v>0.75</v>
      </c>
      <c r="E1345" s="4">
        <v>0.5</v>
      </c>
    </row>
    <row r="1346" spans="1:5" x14ac:dyDescent="0.35">
      <c r="A1346" s="1">
        <v>44810</v>
      </c>
      <c r="B1346" s="2">
        <v>44810</v>
      </c>
      <c r="C1346" s="3">
        <v>0</v>
      </c>
      <c r="D1346">
        <v>0.75</v>
      </c>
      <c r="E1346" s="4">
        <v>0.5</v>
      </c>
    </row>
    <row r="1347" spans="1:5" x14ac:dyDescent="0.35">
      <c r="A1347" s="1">
        <v>44811</v>
      </c>
      <c r="B1347" s="2">
        <v>44811</v>
      </c>
      <c r="C1347" s="3">
        <v>0</v>
      </c>
      <c r="D1347">
        <v>0.75</v>
      </c>
      <c r="E1347" s="4">
        <v>0.5</v>
      </c>
    </row>
    <row r="1348" spans="1:5" x14ac:dyDescent="0.35">
      <c r="A1348" s="1">
        <v>44812</v>
      </c>
      <c r="B1348" s="2">
        <v>44812</v>
      </c>
      <c r="C1348" s="3">
        <v>0</v>
      </c>
      <c r="D1348">
        <v>0.75</v>
      </c>
      <c r="E1348" s="4">
        <v>0.5</v>
      </c>
    </row>
    <row r="1349" spans="1:5" x14ac:dyDescent="0.35">
      <c r="A1349" s="1">
        <v>44813</v>
      </c>
      <c r="B1349" s="2">
        <v>44813</v>
      </c>
      <c r="C1349" s="3">
        <v>0</v>
      </c>
      <c r="D1349">
        <v>0.75</v>
      </c>
      <c r="E1349" s="4">
        <v>0.5</v>
      </c>
    </row>
    <row r="1350" spans="1:5" x14ac:dyDescent="0.35">
      <c r="A1350" s="1">
        <v>44814</v>
      </c>
      <c r="B1350" s="2">
        <v>44814</v>
      </c>
      <c r="C1350" s="3">
        <v>0</v>
      </c>
      <c r="D1350">
        <v>0.75</v>
      </c>
      <c r="E1350" s="4">
        <v>0.5</v>
      </c>
    </row>
    <row r="1351" spans="1:5" x14ac:dyDescent="0.35">
      <c r="A1351" s="1">
        <v>44815</v>
      </c>
      <c r="B1351" s="2">
        <v>44815</v>
      </c>
      <c r="C1351" s="3">
        <v>0</v>
      </c>
      <c r="D1351">
        <v>0.75</v>
      </c>
      <c r="E1351" s="4">
        <v>0.5</v>
      </c>
    </row>
    <row r="1352" spans="1:5" x14ac:dyDescent="0.35">
      <c r="A1352" s="1">
        <v>44816</v>
      </c>
      <c r="B1352" s="2">
        <v>44816</v>
      </c>
      <c r="C1352" s="3">
        <v>0</v>
      </c>
      <c r="D1352">
        <v>0.75</v>
      </c>
      <c r="E1352" s="4">
        <v>0.5</v>
      </c>
    </row>
    <row r="1353" spans="1:5" x14ac:dyDescent="0.35">
      <c r="A1353" s="1">
        <v>44817</v>
      </c>
      <c r="B1353" s="2">
        <v>44817</v>
      </c>
      <c r="C1353" s="3">
        <v>0</v>
      </c>
      <c r="D1353">
        <v>0.75</v>
      </c>
      <c r="E1353" s="4">
        <v>0.5</v>
      </c>
    </row>
    <row r="1354" spans="1:5" x14ac:dyDescent="0.35">
      <c r="A1354" s="1">
        <v>44818</v>
      </c>
      <c r="B1354" s="2">
        <v>44818</v>
      </c>
      <c r="C1354">
        <v>0.75</v>
      </c>
      <c r="D1354">
        <v>1.5</v>
      </c>
      <c r="E1354" s="4">
        <v>1.25</v>
      </c>
    </row>
    <row r="1355" spans="1:5" x14ac:dyDescent="0.35">
      <c r="A1355" s="1">
        <v>44819</v>
      </c>
      <c r="B1355" s="2">
        <v>44819</v>
      </c>
      <c r="C1355">
        <v>0.75</v>
      </c>
      <c r="D1355">
        <v>1.5</v>
      </c>
      <c r="E1355" s="4">
        <v>1.25</v>
      </c>
    </row>
    <row r="1356" spans="1:5" x14ac:dyDescent="0.35">
      <c r="A1356" s="1">
        <v>44820</v>
      </c>
      <c r="B1356" s="2">
        <v>44820</v>
      </c>
      <c r="C1356">
        <v>0.75</v>
      </c>
      <c r="D1356">
        <v>1.5</v>
      </c>
      <c r="E1356" s="4">
        <v>1.25</v>
      </c>
    </row>
    <row r="1357" spans="1:5" x14ac:dyDescent="0.35">
      <c r="A1357" s="1">
        <v>44821</v>
      </c>
      <c r="B1357" s="2">
        <v>44821</v>
      </c>
      <c r="C1357">
        <v>0.75</v>
      </c>
      <c r="D1357">
        <v>1.5</v>
      </c>
      <c r="E1357" s="4">
        <v>1.25</v>
      </c>
    </row>
    <row r="1358" spans="1:5" x14ac:dyDescent="0.35">
      <c r="A1358" s="1">
        <v>44822</v>
      </c>
      <c r="B1358" s="2">
        <v>44822</v>
      </c>
      <c r="C1358">
        <v>0.75</v>
      </c>
      <c r="D1358">
        <v>1.5</v>
      </c>
      <c r="E1358" s="4">
        <v>1.25</v>
      </c>
    </row>
    <row r="1359" spans="1:5" x14ac:dyDescent="0.35">
      <c r="A1359" s="1">
        <v>44823</v>
      </c>
      <c r="B1359" s="2">
        <v>44823</v>
      </c>
      <c r="C1359">
        <v>0.75</v>
      </c>
      <c r="D1359">
        <v>1.5</v>
      </c>
      <c r="E1359" s="4">
        <v>1.25</v>
      </c>
    </row>
    <row r="1360" spans="1:5" x14ac:dyDescent="0.35">
      <c r="A1360" s="1">
        <v>44824</v>
      </c>
      <c r="B1360" s="2">
        <v>44824</v>
      </c>
      <c r="C1360">
        <v>0.75</v>
      </c>
      <c r="D1360">
        <v>1.5</v>
      </c>
      <c r="E1360" s="4">
        <v>1.25</v>
      </c>
    </row>
    <row r="1361" spans="1:5" x14ac:dyDescent="0.35">
      <c r="A1361" s="1">
        <v>44825</v>
      </c>
      <c r="B1361" s="2">
        <v>44825</v>
      </c>
      <c r="C1361">
        <v>0.75</v>
      </c>
      <c r="D1361">
        <v>1.5</v>
      </c>
      <c r="E1361" s="4">
        <v>1.25</v>
      </c>
    </row>
    <row r="1362" spans="1:5" x14ac:dyDescent="0.35">
      <c r="A1362" s="1">
        <v>44826</v>
      </c>
      <c r="B1362" s="2">
        <v>44826</v>
      </c>
      <c r="C1362">
        <v>0.75</v>
      </c>
      <c r="D1362">
        <v>1.5</v>
      </c>
      <c r="E1362" s="4">
        <v>1.25</v>
      </c>
    </row>
    <row r="1363" spans="1:5" x14ac:dyDescent="0.35">
      <c r="A1363" s="1">
        <v>44827</v>
      </c>
      <c r="B1363" s="2">
        <v>44827</v>
      </c>
      <c r="C1363">
        <v>0.75</v>
      </c>
      <c r="D1363">
        <v>1.5</v>
      </c>
      <c r="E1363" s="4">
        <v>1.25</v>
      </c>
    </row>
    <row r="1364" spans="1:5" x14ac:dyDescent="0.35">
      <c r="A1364" s="1">
        <v>44828</v>
      </c>
      <c r="B1364" s="2">
        <v>44828</v>
      </c>
      <c r="C1364">
        <v>0.75</v>
      </c>
      <c r="D1364">
        <v>1.5</v>
      </c>
      <c r="E1364" s="4">
        <v>1.25</v>
      </c>
    </row>
    <row r="1365" spans="1:5" x14ac:dyDescent="0.35">
      <c r="A1365" s="1">
        <v>44829</v>
      </c>
      <c r="B1365" s="2">
        <v>44829</v>
      </c>
      <c r="C1365">
        <v>0.75</v>
      </c>
      <c r="D1365">
        <v>1.5</v>
      </c>
      <c r="E1365" s="4">
        <v>1.25</v>
      </c>
    </row>
    <row r="1366" spans="1:5" x14ac:dyDescent="0.35">
      <c r="A1366" s="1">
        <v>44830</v>
      </c>
      <c r="B1366" s="2">
        <v>44830</v>
      </c>
      <c r="C1366">
        <v>0.75</v>
      </c>
      <c r="D1366">
        <v>1.5</v>
      </c>
      <c r="E1366" s="4">
        <v>1.25</v>
      </c>
    </row>
    <row r="1367" spans="1:5" x14ac:dyDescent="0.35">
      <c r="A1367" s="1">
        <v>44831</v>
      </c>
      <c r="B1367" s="2">
        <v>44831</v>
      </c>
      <c r="C1367">
        <v>0.75</v>
      </c>
      <c r="D1367">
        <v>1.5</v>
      </c>
      <c r="E1367" s="4">
        <v>1.25</v>
      </c>
    </row>
    <row r="1368" spans="1:5" x14ac:dyDescent="0.35">
      <c r="A1368" s="1">
        <v>44832</v>
      </c>
      <c r="B1368" s="2">
        <v>44832</v>
      </c>
      <c r="C1368">
        <v>0.75</v>
      </c>
      <c r="D1368">
        <v>1.5</v>
      </c>
      <c r="E1368" s="4">
        <v>1.25</v>
      </c>
    </row>
    <row r="1369" spans="1:5" x14ac:dyDescent="0.35">
      <c r="A1369" s="1">
        <v>44833</v>
      </c>
      <c r="B1369" s="2">
        <v>44833</v>
      </c>
      <c r="C1369">
        <v>0.75</v>
      </c>
      <c r="D1369">
        <v>1.5</v>
      </c>
      <c r="E1369" s="4">
        <v>1.25</v>
      </c>
    </row>
    <row r="1370" spans="1:5" x14ac:dyDescent="0.35">
      <c r="A1370" s="1">
        <v>44834</v>
      </c>
      <c r="B1370" s="2">
        <v>44834</v>
      </c>
      <c r="C1370">
        <v>0.75</v>
      </c>
      <c r="D1370">
        <v>1.5</v>
      </c>
      <c r="E1370" s="4">
        <v>1.25</v>
      </c>
    </row>
    <row r="1371" spans="1:5" x14ac:dyDescent="0.35">
      <c r="A1371" s="1">
        <v>44835</v>
      </c>
      <c r="B1371" s="2">
        <v>44835</v>
      </c>
      <c r="C1371">
        <v>0.75</v>
      </c>
      <c r="D1371">
        <v>1.5</v>
      </c>
      <c r="E1371" s="4">
        <v>1.25</v>
      </c>
    </row>
    <row r="1372" spans="1:5" x14ac:dyDescent="0.35">
      <c r="A1372" s="1">
        <v>44836</v>
      </c>
      <c r="B1372" s="2">
        <v>44836</v>
      </c>
      <c r="C1372">
        <v>0.75</v>
      </c>
      <c r="D1372">
        <v>1.5</v>
      </c>
      <c r="E1372" s="4">
        <v>1.25</v>
      </c>
    </row>
    <row r="1373" spans="1:5" x14ac:dyDescent="0.35">
      <c r="A1373" s="1">
        <v>44837</v>
      </c>
      <c r="B1373" s="2">
        <v>44837</v>
      </c>
      <c r="C1373">
        <v>0.75</v>
      </c>
      <c r="D1373">
        <v>1.5</v>
      </c>
      <c r="E1373" s="4">
        <v>1.25</v>
      </c>
    </row>
    <row r="1374" spans="1:5" x14ac:dyDescent="0.35">
      <c r="A1374" s="1">
        <v>44838</v>
      </c>
      <c r="B1374" s="2">
        <v>44838</v>
      </c>
      <c r="C1374">
        <v>0.75</v>
      </c>
      <c r="D1374">
        <v>1.5</v>
      </c>
      <c r="E1374" s="4">
        <v>1.25</v>
      </c>
    </row>
    <row r="1375" spans="1:5" x14ac:dyDescent="0.35">
      <c r="A1375" s="1">
        <v>44839</v>
      </c>
      <c r="B1375" s="2">
        <v>44839</v>
      </c>
      <c r="C1375">
        <v>0.75</v>
      </c>
      <c r="D1375">
        <v>1.5</v>
      </c>
      <c r="E1375" s="4">
        <v>1.25</v>
      </c>
    </row>
    <row r="1376" spans="1:5" x14ac:dyDescent="0.35">
      <c r="A1376" s="1">
        <v>44840</v>
      </c>
      <c r="B1376" s="2">
        <v>44840</v>
      </c>
      <c r="C1376">
        <v>0.75</v>
      </c>
      <c r="D1376">
        <v>1.5</v>
      </c>
      <c r="E1376" s="4">
        <v>1.25</v>
      </c>
    </row>
    <row r="1377" spans="1:5" x14ac:dyDescent="0.35">
      <c r="A1377" s="1">
        <v>44841</v>
      </c>
      <c r="B1377" s="2">
        <v>44841</v>
      </c>
      <c r="C1377">
        <v>0.75</v>
      </c>
      <c r="D1377">
        <v>1.5</v>
      </c>
      <c r="E1377" s="4">
        <v>1.25</v>
      </c>
    </row>
    <row r="1378" spans="1:5" x14ac:dyDescent="0.35">
      <c r="A1378" s="1">
        <v>44842</v>
      </c>
      <c r="B1378" s="2">
        <v>44842</v>
      </c>
      <c r="C1378">
        <v>0.75</v>
      </c>
      <c r="D1378">
        <v>1.5</v>
      </c>
      <c r="E1378" s="4">
        <v>1.25</v>
      </c>
    </row>
    <row r="1379" spans="1:5" x14ac:dyDescent="0.35">
      <c r="A1379" s="1">
        <v>44843</v>
      </c>
      <c r="B1379" s="2">
        <v>44843</v>
      </c>
      <c r="C1379">
        <v>0.75</v>
      </c>
      <c r="D1379">
        <v>1.5</v>
      </c>
      <c r="E1379" s="4">
        <v>1.25</v>
      </c>
    </row>
    <row r="1380" spans="1:5" x14ac:dyDescent="0.35">
      <c r="A1380" s="1">
        <v>44844</v>
      </c>
      <c r="B1380" s="2">
        <v>44844</v>
      </c>
      <c r="C1380">
        <v>0.75</v>
      </c>
      <c r="D1380">
        <v>1.5</v>
      </c>
      <c r="E1380" s="4">
        <v>1.25</v>
      </c>
    </row>
    <row r="1381" spans="1:5" x14ac:dyDescent="0.35">
      <c r="A1381" s="1">
        <v>44845</v>
      </c>
      <c r="B1381" s="2">
        <v>44845</v>
      </c>
      <c r="C1381">
        <v>0.75</v>
      </c>
      <c r="D1381">
        <v>1.5</v>
      </c>
      <c r="E1381" s="4">
        <v>1.25</v>
      </c>
    </row>
    <row r="1382" spans="1:5" x14ac:dyDescent="0.35">
      <c r="A1382" s="1">
        <v>44846</v>
      </c>
      <c r="B1382" s="2">
        <v>44846</v>
      </c>
      <c r="C1382">
        <v>0.75</v>
      </c>
      <c r="D1382">
        <v>1.5</v>
      </c>
      <c r="E1382" s="4">
        <v>1.25</v>
      </c>
    </row>
    <row r="1383" spans="1:5" x14ac:dyDescent="0.35">
      <c r="A1383" s="1">
        <v>44847</v>
      </c>
      <c r="B1383" s="2">
        <v>44847</v>
      </c>
      <c r="C1383">
        <v>0.75</v>
      </c>
      <c r="D1383">
        <v>1.5</v>
      </c>
      <c r="E1383" s="4">
        <v>1.25</v>
      </c>
    </row>
    <row r="1384" spans="1:5" x14ac:dyDescent="0.35">
      <c r="A1384" s="1">
        <v>44848</v>
      </c>
      <c r="B1384" s="2">
        <v>44848</v>
      </c>
      <c r="C1384">
        <v>0.75</v>
      </c>
      <c r="D1384">
        <v>1.5</v>
      </c>
      <c r="E1384" s="4">
        <v>1.25</v>
      </c>
    </row>
    <row r="1385" spans="1:5" x14ac:dyDescent="0.35">
      <c r="A1385" s="1">
        <v>44849</v>
      </c>
      <c r="B1385" s="2">
        <v>44849</v>
      </c>
      <c r="C1385">
        <v>0.75</v>
      </c>
      <c r="D1385">
        <v>1.5</v>
      </c>
      <c r="E1385" s="4">
        <v>1.25</v>
      </c>
    </row>
    <row r="1386" spans="1:5" x14ac:dyDescent="0.35">
      <c r="A1386" s="1">
        <v>44850</v>
      </c>
      <c r="B1386" s="2">
        <v>44850</v>
      </c>
      <c r="C1386">
        <v>0.75</v>
      </c>
      <c r="D1386">
        <v>1.5</v>
      </c>
      <c r="E1386" s="4">
        <v>1.25</v>
      </c>
    </row>
    <row r="1387" spans="1:5" x14ac:dyDescent="0.35">
      <c r="A1387" s="1">
        <v>44851</v>
      </c>
      <c r="B1387" s="2">
        <v>44851</v>
      </c>
      <c r="C1387">
        <v>0.75</v>
      </c>
      <c r="D1387">
        <v>1.5</v>
      </c>
      <c r="E1387" s="4">
        <v>1.25</v>
      </c>
    </row>
    <row r="1388" spans="1:5" x14ac:dyDescent="0.35">
      <c r="A1388" s="1">
        <v>44852</v>
      </c>
      <c r="B1388" s="2">
        <v>44852</v>
      </c>
      <c r="C1388">
        <v>0.75</v>
      </c>
      <c r="D1388">
        <v>1.5</v>
      </c>
      <c r="E1388" s="4">
        <v>1.25</v>
      </c>
    </row>
    <row r="1389" spans="1:5" x14ac:dyDescent="0.35">
      <c r="A1389" s="1">
        <v>44853</v>
      </c>
      <c r="B1389" s="2">
        <v>44853</v>
      </c>
      <c r="C1389">
        <v>0.75</v>
      </c>
      <c r="D1389">
        <v>1.5</v>
      </c>
      <c r="E1389" s="4">
        <v>1.25</v>
      </c>
    </row>
    <row r="1390" spans="1:5" x14ac:dyDescent="0.35">
      <c r="A1390" s="1">
        <v>44854</v>
      </c>
      <c r="B1390" s="2">
        <v>44854</v>
      </c>
      <c r="C1390">
        <v>0.75</v>
      </c>
      <c r="D1390">
        <v>1.5</v>
      </c>
      <c r="E1390" s="4">
        <v>1.25</v>
      </c>
    </row>
    <row r="1391" spans="1:5" x14ac:dyDescent="0.35">
      <c r="A1391" s="1">
        <v>44855</v>
      </c>
      <c r="B1391" s="2">
        <v>44855</v>
      </c>
      <c r="C1391">
        <v>0.75</v>
      </c>
      <c r="D1391">
        <v>1.5</v>
      </c>
      <c r="E1391" s="4">
        <v>1.25</v>
      </c>
    </row>
    <row r="1392" spans="1:5" x14ac:dyDescent="0.35">
      <c r="A1392" s="1">
        <v>44856</v>
      </c>
      <c r="B1392" s="2">
        <v>44856</v>
      </c>
      <c r="C1392">
        <v>0.75</v>
      </c>
      <c r="D1392">
        <v>1.5</v>
      </c>
      <c r="E1392" s="4">
        <v>1.25</v>
      </c>
    </row>
    <row r="1393" spans="1:5" x14ac:dyDescent="0.35">
      <c r="A1393" s="1">
        <v>44857</v>
      </c>
      <c r="B1393" s="2">
        <v>44857</v>
      </c>
      <c r="C1393">
        <v>0.75</v>
      </c>
      <c r="D1393">
        <v>1.5</v>
      </c>
      <c r="E1393" s="4">
        <v>1.25</v>
      </c>
    </row>
    <row r="1394" spans="1:5" x14ac:dyDescent="0.35">
      <c r="A1394" s="1">
        <v>44858</v>
      </c>
      <c r="B1394" s="2">
        <v>44858</v>
      </c>
      <c r="C1394">
        <v>0.75</v>
      </c>
      <c r="D1394">
        <v>1.5</v>
      </c>
      <c r="E1394" s="4">
        <v>1.25</v>
      </c>
    </row>
    <row r="1395" spans="1:5" x14ac:dyDescent="0.35">
      <c r="A1395" s="1">
        <v>44859</v>
      </c>
      <c r="B1395" s="2">
        <v>44859</v>
      </c>
      <c r="C1395">
        <v>0.75</v>
      </c>
      <c r="D1395">
        <v>1.5</v>
      </c>
      <c r="E1395" s="4">
        <v>1.25</v>
      </c>
    </row>
    <row r="1396" spans="1:5" x14ac:dyDescent="0.35">
      <c r="A1396" s="1">
        <v>44860</v>
      </c>
      <c r="B1396" s="2">
        <v>44860</v>
      </c>
      <c r="C1396">
        <v>0.75</v>
      </c>
      <c r="D1396">
        <v>1.5</v>
      </c>
      <c r="E1396" s="4">
        <v>1.25</v>
      </c>
    </row>
    <row r="1397" spans="1:5" x14ac:dyDescent="0.35">
      <c r="A1397" s="1">
        <v>44861</v>
      </c>
      <c r="B1397" s="2">
        <v>44861</v>
      </c>
      <c r="C1397">
        <v>0.75</v>
      </c>
      <c r="D1397">
        <v>1.5</v>
      </c>
      <c r="E1397" s="4">
        <v>1.25</v>
      </c>
    </row>
    <row r="1398" spans="1:5" x14ac:dyDescent="0.35">
      <c r="A1398" s="1">
        <v>44862</v>
      </c>
      <c r="B1398" s="2">
        <v>44862</v>
      </c>
      <c r="C1398">
        <v>0.75</v>
      </c>
      <c r="D1398">
        <v>1.5</v>
      </c>
      <c r="E1398" s="4">
        <v>1.25</v>
      </c>
    </row>
    <row r="1399" spans="1:5" x14ac:dyDescent="0.35">
      <c r="A1399" s="1">
        <v>44863</v>
      </c>
      <c r="B1399" s="2">
        <v>44863</v>
      </c>
      <c r="C1399">
        <v>0.75</v>
      </c>
      <c r="D1399">
        <v>1.5</v>
      </c>
      <c r="E1399" s="4">
        <v>1.25</v>
      </c>
    </row>
    <row r="1400" spans="1:5" x14ac:dyDescent="0.35">
      <c r="A1400" s="1">
        <v>44864</v>
      </c>
      <c r="B1400" s="2">
        <v>44864</v>
      </c>
      <c r="C1400">
        <v>0.75</v>
      </c>
      <c r="D1400">
        <v>1.5</v>
      </c>
      <c r="E1400" s="4">
        <v>1.25</v>
      </c>
    </row>
    <row r="1401" spans="1:5" x14ac:dyDescent="0.35">
      <c r="A1401" s="1">
        <v>44865</v>
      </c>
      <c r="B1401" s="2">
        <v>44865</v>
      </c>
      <c r="C1401">
        <v>0.75</v>
      </c>
      <c r="D1401">
        <v>1.5</v>
      </c>
      <c r="E1401" s="4">
        <v>1.25</v>
      </c>
    </row>
    <row r="1402" spans="1:5" x14ac:dyDescent="0.35">
      <c r="A1402" s="1">
        <v>44866</v>
      </c>
      <c r="B1402" s="2">
        <v>44866</v>
      </c>
      <c r="C1402">
        <v>0.75</v>
      </c>
      <c r="D1402">
        <v>1.5</v>
      </c>
      <c r="E1402" s="4">
        <v>1.25</v>
      </c>
    </row>
    <row r="1403" spans="1:5" x14ac:dyDescent="0.35">
      <c r="A1403" s="1">
        <v>44867</v>
      </c>
      <c r="B1403" s="2">
        <v>44867</v>
      </c>
      <c r="C1403">
        <v>1.5</v>
      </c>
      <c r="D1403">
        <v>2.25</v>
      </c>
      <c r="E1403" s="4">
        <v>2</v>
      </c>
    </row>
    <row r="1404" spans="1:5" x14ac:dyDescent="0.35">
      <c r="A1404" s="1">
        <v>44868</v>
      </c>
      <c r="B1404" s="2">
        <v>44868</v>
      </c>
      <c r="C1404">
        <v>1.5</v>
      </c>
      <c r="D1404">
        <v>2.25</v>
      </c>
      <c r="E1404" s="4">
        <v>2</v>
      </c>
    </row>
    <row r="1405" spans="1:5" x14ac:dyDescent="0.35">
      <c r="A1405" s="1">
        <v>44869</v>
      </c>
      <c r="B1405" s="2">
        <v>44869</v>
      </c>
      <c r="C1405">
        <v>1.5</v>
      </c>
      <c r="D1405">
        <v>2.25</v>
      </c>
      <c r="E1405" s="4">
        <v>2</v>
      </c>
    </row>
    <row r="1406" spans="1:5" x14ac:dyDescent="0.35">
      <c r="A1406" s="1">
        <v>44870</v>
      </c>
      <c r="B1406" s="2">
        <v>44870</v>
      </c>
      <c r="C1406">
        <v>1.5</v>
      </c>
      <c r="D1406">
        <v>2.25</v>
      </c>
      <c r="E1406" s="4">
        <v>2</v>
      </c>
    </row>
    <row r="1407" spans="1:5" x14ac:dyDescent="0.35">
      <c r="A1407" s="1">
        <v>44871</v>
      </c>
      <c r="B1407" s="2">
        <v>44871</v>
      </c>
      <c r="C1407">
        <v>1.5</v>
      </c>
      <c r="D1407">
        <v>2.25</v>
      </c>
      <c r="E1407" s="4">
        <v>2</v>
      </c>
    </row>
    <row r="1408" spans="1:5" x14ac:dyDescent="0.35">
      <c r="A1408" s="1">
        <v>44872</v>
      </c>
      <c r="B1408" s="2">
        <v>44872</v>
      </c>
      <c r="C1408">
        <v>1.5</v>
      </c>
      <c r="D1408">
        <v>2.25</v>
      </c>
      <c r="E1408" s="4">
        <v>2</v>
      </c>
    </row>
    <row r="1409" spans="1:5" x14ac:dyDescent="0.35">
      <c r="A1409" s="1">
        <v>44873</v>
      </c>
      <c r="B1409" s="2">
        <v>44873</v>
      </c>
      <c r="C1409">
        <v>1.5</v>
      </c>
      <c r="D1409">
        <v>2.25</v>
      </c>
      <c r="E1409" s="4">
        <v>2</v>
      </c>
    </row>
    <row r="1410" spans="1:5" x14ac:dyDescent="0.35">
      <c r="A1410" s="1">
        <v>44874</v>
      </c>
      <c r="B1410" s="2">
        <v>44874</v>
      </c>
      <c r="C1410">
        <v>1.5</v>
      </c>
      <c r="D1410">
        <v>2.25</v>
      </c>
      <c r="E1410" s="4">
        <v>2</v>
      </c>
    </row>
    <row r="1411" spans="1:5" x14ac:dyDescent="0.35">
      <c r="A1411" s="1">
        <v>44875</v>
      </c>
      <c r="B1411" s="2">
        <v>44875</v>
      </c>
      <c r="C1411">
        <v>1.5</v>
      </c>
      <c r="D1411">
        <v>2.25</v>
      </c>
      <c r="E1411" s="4">
        <v>2</v>
      </c>
    </row>
    <row r="1412" spans="1:5" x14ac:dyDescent="0.35">
      <c r="A1412" s="1">
        <v>44876</v>
      </c>
      <c r="B1412" s="2">
        <v>44876</v>
      </c>
      <c r="C1412">
        <v>1.5</v>
      </c>
      <c r="D1412">
        <v>2.25</v>
      </c>
      <c r="E1412" s="4">
        <v>2</v>
      </c>
    </row>
    <row r="1413" spans="1:5" x14ac:dyDescent="0.35">
      <c r="A1413" s="1">
        <v>44877</v>
      </c>
      <c r="B1413" s="2">
        <v>44877</v>
      </c>
      <c r="C1413">
        <v>1.5</v>
      </c>
      <c r="D1413">
        <v>2.25</v>
      </c>
      <c r="E1413" s="4">
        <v>2</v>
      </c>
    </row>
    <row r="1414" spans="1:5" x14ac:dyDescent="0.35">
      <c r="A1414" s="1">
        <v>44878</v>
      </c>
      <c r="B1414" s="2">
        <v>44878</v>
      </c>
      <c r="C1414">
        <v>1.5</v>
      </c>
      <c r="D1414">
        <v>2.25</v>
      </c>
      <c r="E1414" s="4">
        <v>2</v>
      </c>
    </row>
    <row r="1415" spans="1:5" x14ac:dyDescent="0.35">
      <c r="A1415" s="1">
        <v>44879</v>
      </c>
      <c r="B1415" s="2">
        <v>44879</v>
      </c>
      <c r="C1415">
        <v>1.5</v>
      </c>
      <c r="D1415">
        <v>2.25</v>
      </c>
      <c r="E1415" s="4">
        <v>2</v>
      </c>
    </row>
    <row r="1416" spans="1:5" x14ac:dyDescent="0.35">
      <c r="A1416" s="1">
        <v>44880</v>
      </c>
      <c r="B1416" s="2">
        <v>44880</v>
      </c>
      <c r="C1416">
        <v>1.5</v>
      </c>
      <c r="D1416">
        <v>2.25</v>
      </c>
      <c r="E1416" s="4">
        <v>2</v>
      </c>
    </row>
    <row r="1417" spans="1:5" x14ac:dyDescent="0.35">
      <c r="A1417" s="1">
        <v>44881</v>
      </c>
      <c r="B1417" s="2">
        <v>44881</v>
      </c>
      <c r="C1417">
        <v>1.5</v>
      </c>
      <c r="D1417">
        <v>2.25</v>
      </c>
      <c r="E1417" s="4">
        <v>2</v>
      </c>
    </row>
    <row r="1418" spans="1:5" x14ac:dyDescent="0.35">
      <c r="A1418" s="1">
        <v>44882</v>
      </c>
      <c r="B1418" s="2">
        <v>44882</v>
      </c>
      <c r="C1418">
        <v>1.5</v>
      </c>
      <c r="D1418">
        <v>2.25</v>
      </c>
      <c r="E1418" s="4">
        <v>2</v>
      </c>
    </row>
    <row r="1419" spans="1:5" x14ac:dyDescent="0.35">
      <c r="A1419" s="1">
        <v>44883</v>
      </c>
      <c r="B1419" s="2">
        <v>44883</v>
      </c>
      <c r="C1419">
        <v>1.5</v>
      </c>
      <c r="D1419">
        <v>2.25</v>
      </c>
      <c r="E1419" s="4">
        <v>2</v>
      </c>
    </row>
    <row r="1420" spans="1:5" x14ac:dyDescent="0.35">
      <c r="A1420" s="1">
        <v>44884</v>
      </c>
      <c r="B1420" s="2">
        <v>44884</v>
      </c>
      <c r="C1420">
        <v>1.5</v>
      </c>
      <c r="D1420">
        <v>2.25</v>
      </c>
      <c r="E1420" s="4">
        <v>2</v>
      </c>
    </row>
    <row r="1421" spans="1:5" x14ac:dyDescent="0.35">
      <c r="A1421" s="1">
        <v>44885</v>
      </c>
      <c r="B1421" s="2">
        <v>44885</v>
      </c>
      <c r="C1421">
        <v>1.5</v>
      </c>
      <c r="D1421">
        <v>2.25</v>
      </c>
      <c r="E1421" s="4">
        <v>2</v>
      </c>
    </row>
    <row r="1422" spans="1:5" x14ac:dyDescent="0.35">
      <c r="A1422" s="1">
        <v>44886</v>
      </c>
      <c r="B1422" s="2">
        <v>44886</v>
      </c>
      <c r="C1422">
        <v>1.5</v>
      </c>
      <c r="D1422">
        <v>2.25</v>
      </c>
      <c r="E1422" s="4">
        <v>2</v>
      </c>
    </row>
    <row r="1423" spans="1:5" x14ac:dyDescent="0.35">
      <c r="A1423" s="1">
        <v>44887</v>
      </c>
      <c r="B1423" s="2">
        <v>44887</v>
      </c>
      <c r="C1423">
        <v>1.5</v>
      </c>
      <c r="D1423">
        <v>2.25</v>
      </c>
      <c r="E1423" s="4">
        <v>2</v>
      </c>
    </row>
    <row r="1424" spans="1:5" x14ac:dyDescent="0.35">
      <c r="A1424" s="1">
        <v>44888</v>
      </c>
      <c r="B1424" s="2">
        <v>44888</v>
      </c>
      <c r="C1424">
        <v>1.5</v>
      </c>
      <c r="D1424">
        <v>2.25</v>
      </c>
      <c r="E1424" s="4">
        <v>2</v>
      </c>
    </row>
    <row r="1425" spans="1:5" x14ac:dyDescent="0.35">
      <c r="A1425" s="1">
        <v>44889</v>
      </c>
      <c r="B1425" s="2">
        <v>44889</v>
      </c>
      <c r="C1425">
        <v>1.5</v>
      </c>
      <c r="D1425">
        <v>2.25</v>
      </c>
      <c r="E1425" s="4">
        <v>2</v>
      </c>
    </row>
    <row r="1426" spans="1:5" x14ac:dyDescent="0.35">
      <c r="A1426" s="1">
        <v>44890</v>
      </c>
      <c r="B1426" s="2">
        <v>44890</v>
      </c>
      <c r="C1426">
        <v>1.5</v>
      </c>
      <c r="D1426">
        <v>2.25</v>
      </c>
      <c r="E1426" s="4">
        <v>2</v>
      </c>
    </row>
    <row r="1427" spans="1:5" x14ac:dyDescent="0.35">
      <c r="A1427" s="1">
        <v>44891</v>
      </c>
      <c r="B1427" s="2">
        <v>44891</v>
      </c>
      <c r="C1427">
        <v>1.5</v>
      </c>
      <c r="D1427">
        <v>2.25</v>
      </c>
      <c r="E1427" s="4">
        <v>2</v>
      </c>
    </row>
    <row r="1428" spans="1:5" x14ac:dyDescent="0.35">
      <c r="A1428" s="1">
        <v>44892</v>
      </c>
      <c r="B1428" s="2">
        <v>44892</v>
      </c>
      <c r="C1428">
        <v>1.5</v>
      </c>
      <c r="D1428">
        <v>2.25</v>
      </c>
      <c r="E1428" s="4">
        <v>2</v>
      </c>
    </row>
    <row r="1429" spans="1:5" x14ac:dyDescent="0.35">
      <c r="A1429" s="1">
        <v>44893</v>
      </c>
      <c r="B1429" s="2">
        <v>44893</v>
      </c>
      <c r="C1429">
        <v>1.5</v>
      </c>
      <c r="D1429">
        <v>2.25</v>
      </c>
      <c r="E1429" s="4">
        <v>2</v>
      </c>
    </row>
    <row r="1430" spans="1:5" x14ac:dyDescent="0.35">
      <c r="A1430" s="1">
        <v>44894</v>
      </c>
      <c r="B1430" s="2">
        <v>44894</v>
      </c>
      <c r="C1430">
        <v>1.5</v>
      </c>
      <c r="D1430">
        <v>2.25</v>
      </c>
      <c r="E1430" s="4">
        <v>2</v>
      </c>
    </row>
    <row r="1431" spans="1:5" x14ac:dyDescent="0.35">
      <c r="A1431" s="1">
        <v>44895</v>
      </c>
      <c r="B1431" s="2">
        <v>44895</v>
      </c>
      <c r="C1431">
        <v>1.5</v>
      </c>
      <c r="D1431">
        <v>2.25</v>
      </c>
      <c r="E1431" s="4">
        <v>2</v>
      </c>
    </row>
    <row r="1432" spans="1:5" x14ac:dyDescent="0.35">
      <c r="A1432" s="1">
        <v>44896</v>
      </c>
      <c r="B1432" s="2">
        <v>44896</v>
      </c>
      <c r="C1432">
        <v>1.5</v>
      </c>
      <c r="D1432">
        <v>2.25</v>
      </c>
      <c r="E1432" s="4">
        <v>2</v>
      </c>
    </row>
    <row r="1433" spans="1:5" x14ac:dyDescent="0.35">
      <c r="A1433" s="1">
        <v>44897</v>
      </c>
      <c r="B1433" s="2">
        <v>44897</v>
      </c>
      <c r="C1433">
        <v>1.5</v>
      </c>
      <c r="D1433">
        <v>2.25</v>
      </c>
      <c r="E1433" s="4">
        <v>2</v>
      </c>
    </row>
    <row r="1434" spans="1:5" x14ac:dyDescent="0.35">
      <c r="A1434" s="1">
        <v>44898</v>
      </c>
      <c r="B1434" s="2">
        <v>44898</v>
      </c>
      <c r="C1434">
        <v>1.5</v>
      </c>
      <c r="D1434">
        <v>2.25</v>
      </c>
      <c r="E1434" s="4">
        <v>2</v>
      </c>
    </row>
    <row r="1435" spans="1:5" x14ac:dyDescent="0.35">
      <c r="A1435" s="1">
        <v>44899</v>
      </c>
      <c r="B1435" s="2">
        <v>44899</v>
      </c>
      <c r="C1435">
        <v>1.5</v>
      </c>
      <c r="D1435">
        <v>2.25</v>
      </c>
      <c r="E1435" s="4">
        <v>2</v>
      </c>
    </row>
    <row r="1436" spans="1:5" x14ac:dyDescent="0.35">
      <c r="A1436" s="1">
        <v>44900</v>
      </c>
      <c r="B1436" s="2">
        <v>44900</v>
      </c>
      <c r="C1436">
        <v>1.5</v>
      </c>
      <c r="D1436">
        <v>2.25</v>
      </c>
      <c r="E1436" s="4">
        <v>2</v>
      </c>
    </row>
    <row r="1437" spans="1:5" x14ac:dyDescent="0.35">
      <c r="A1437" s="1">
        <v>44901</v>
      </c>
      <c r="B1437" s="2">
        <v>44901</v>
      </c>
      <c r="C1437">
        <v>1.5</v>
      </c>
      <c r="D1437">
        <v>2.25</v>
      </c>
      <c r="E1437" s="4">
        <v>2</v>
      </c>
    </row>
    <row r="1438" spans="1:5" x14ac:dyDescent="0.35">
      <c r="A1438" s="1">
        <v>44902</v>
      </c>
      <c r="B1438" s="2">
        <v>44902</v>
      </c>
      <c r="C1438">
        <v>1.5</v>
      </c>
      <c r="D1438">
        <v>2.25</v>
      </c>
      <c r="E1438" s="4">
        <v>2</v>
      </c>
    </row>
    <row r="1439" spans="1:5" x14ac:dyDescent="0.35">
      <c r="A1439" s="1">
        <v>44903</v>
      </c>
      <c r="B1439" s="2">
        <v>44903</v>
      </c>
      <c r="C1439">
        <v>1.5</v>
      </c>
      <c r="D1439">
        <v>2.25</v>
      </c>
      <c r="E1439" s="4">
        <v>2</v>
      </c>
    </row>
    <row r="1440" spans="1:5" x14ac:dyDescent="0.35">
      <c r="A1440" s="1">
        <v>44904</v>
      </c>
      <c r="B1440" s="2">
        <v>44904</v>
      </c>
      <c r="C1440">
        <v>1.5</v>
      </c>
      <c r="D1440">
        <v>2.25</v>
      </c>
      <c r="E1440" s="4">
        <v>2</v>
      </c>
    </row>
    <row r="1441" spans="1:5" x14ac:dyDescent="0.35">
      <c r="A1441" s="1">
        <v>44905</v>
      </c>
      <c r="B1441" s="2">
        <v>44905</v>
      </c>
      <c r="C1441">
        <v>1.5</v>
      </c>
      <c r="D1441">
        <v>2.25</v>
      </c>
      <c r="E1441" s="4">
        <v>2</v>
      </c>
    </row>
    <row r="1442" spans="1:5" x14ac:dyDescent="0.35">
      <c r="A1442" s="1">
        <v>44906</v>
      </c>
      <c r="B1442" s="2">
        <v>44906</v>
      </c>
      <c r="C1442">
        <v>1.5</v>
      </c>
      <c r="D1442">
        <v>2.25</v>
      </c>
      <c r="E1442" s="4">
        <v>2</v>
      </c>
    </row>
    <row r="1443" spans="1:5" x14ac:dyDescent="0.35">
      <c r="A1443" s="1">
        <v>44907</v>
      </c>
      <c r="B1443" s="2">
        <v>44907</v>
      </c>
      <c r="C1443">
        <v>1.5</v>
      </c>
      <c r="D1443">
        <v>2.25</v>
      </c>
      <c r="E1443" s="4">
        <v>2</v>
      </c>
    </row>
    <row r="1444" spans="1:5" x14ac:dyDescent="0.35">
      <c r="A1444" s="1">
        <v>44908</v>
      </c>
      <c r="B1444" s="2">
        <v>44908</v>
      </c>
      <c r="C1444">
        <v>1.5</v>
      </c>
      <c r="D1444">
        <v>2.25</v>
      </c>
      <c r="E1444" s="4">
        <v>2</v>
      </c>
    </row>
    <row r="1445" spans="1:5" x14ac:dyDescent="0.35">
      <c r="A1445" s="1">
        <v>44909</v>
      </c>
      <c r="B1445" s="2">
        <v>44909</v>
      </c>
      <c r="C1445">
        <v>1.5</v>
      </c>
      <c r="D1445">
        <v>2.25</v>
      </c>
      <c r="E1445" s="4">
        <v>2</v>
      </c>
    </row>
    <row r="1446" spans="1:5" x14ac:dyDescent="0.35">
      <c r="A1446" s="1">
        <v>44910</v>
      </c>
      <c r="B1446" s="2">
        <v>44910</v>
      </c>
      <c r="C1446">
        <v>1.5</v>
      </c>
      <c r="D1446">
        <v>2.25</v>
      </c>
      <c r="E1446" s="4">
        <v>2</v>
      </c>
    </row>
    <row r="1447" spans="1:5" x14ac:dyDescent="0.35">
      <c r="A1447" s="1">
        <v>44911</v>
      </c>
      <c r="B1447" s="2">
        <v>44911</v>
      </c>
      <c r="C1447">
        <v>1.5</v>
      </c>
      <c r="D1447">
        <v>2.25</v>
      </c>
      <c r="E1447" s="4">
        <v>2</v>
      </c>
    </row>
    <row r="1448" spans="1:5" x14ac:dyDescent="0.35">
      <c r="A1448" s="1">
        <v>44912</v>
      </c>
      <c r="B1448" s="2">
        <v>44912</v>
      </c>
      <c r="C1448">
        <v>1.5</v>
      </c>
      <c r="D1448">
        <v>2.25</v>
      </c>
      <c r="E1448" s="4">
        <v>2</v>
      </c>
    </row>
    <row r="1449" spans="1:5" x14ac:dyDescent="0.35">
      <c r="A1449" s="1">
        <v>44913</v>
      </c>
      <c r="B1449" s="2">
        <v>44913</v>
      </c>
      <c r="C1449">
        <v>1.5</v>
      </c>
      <c r="D1449">
        <v>2.25</v>
      </c>
      <c r="E1449" s="4">
        <v>2</v>
      </c>
    </row>
    <row r="1450" spans="1:5" x14ac:dyDescent="0.35">
      <c r="A1450" s="1">
        <v>44914</v>
      </c>
      <c r="B1450" s="2">
        <v>44914</v>
      </c>
      <c r="C1450">
        <v>1.5</v>
      </c>
      <c r="D1450">
        <v>2.25</v>
      </c>
      <c r="E1450" s="4">
        <v>2</v>
      </c>
    </row>
    <row r="1451" spans="1:5" x14ac:dyDescent="0.35">
      <c r="A1451" s="1">
        <v>44915</v>
      </c>
      <c r="B1451" s="2">
        <v>44915</v>
      </c>
      <c r="C1451">
        <v>1.5</v>
      </c>
      <c r="D1451">
        <v>2.25</v>
      </c>
      <c r="E1451" s="4">
        <v>2</v>
      </c>
    </row>
    <row r="1452" spans="1:5" x14ac:dyDescent="0.35">
      <c r="A1452" s="1">
        <v>44916</v>
      </c>
      <c r="B1452" s="2">
        <v>44916</v>
      </c>
      <c r="C1452">
        <v>2</v>
      </c>
      <c r="D1452">
        <v>2.75</v>
      </c>
      <c r="E1452" s="4">
        <v>2.5</v>
      </c>
    </row>
    <row r="1453" spans="1:5" x14ac:dyDescent="0.35">
      <c r="A1453" s="1">
        <v>44917</v>
      </c>
      <c r="B1453" s="2">
        <v>44917</v>
      </c>
      <c r="C1453">
        <v>2</v>
      </c>
      <c r="D1453">
        <v>2.75</v>
      </c>
      <c r="E1453" s="4">
        <v>2.5</v>
      </c>
    </row>
    <row r="1454" spans="1:5" x14ac:dyDescent="0.35">
      <c r="A1454" s="1">
        <v>44918</v>
      </c>
      <c r="B1454" s="2">
        <v>44918</v>
      </c>
      <c r="C1454">
        <v>2</v>
      </c>
      <c r="D1454">
        <v>2.75</v>
      </c>
      <c r="E1454" s="4">
        <v>2.5</v>
      </c>
    </row>
    <row r="1455" spans="1:5" x14ac:dyDescent="0.35">
      <c r="A1455" s="1">
        <v>44919</v>
      </c>
      <c r="B1455" s="2">
        <v>44919</v>
      </c>
      <c r="C1455">
        <v>2</v>
      </c>
      <c r="D1455">
        <v>2.75</v>
      </c>
      <c r="E1455" s="4">
        <v>2.5</v>
      </c>
    </row>
    <row r="1456" spans="1:5" x14ac:dyDescent="0.35">
      <c r="A1456" s="1">
        <v>44920</v>
      </c>
      <c r="B1456" s="2">
        <v>44920</v>
      </c>
      <c r="C1456">
        <v>2</v>
      </c>
      <c r="D1456">
        <v>2.75</v>
      </c>
      <c r="E1456" s="4">
        <v>2.5</v>
      </c>
    </row>
    <row r="1457" spans="1:5" x14ac:dyDescent="0.35">
      <c r="A1457" s="1">
        <v>44921</v>
      </c>
      <c r="B1457" s="2">
        <v>44921</v>
      </c>
      <c r="C1457">
        <v>2</v>
      </c>
      <c r="D1457">
        <v>2.75</v>
      </c>
      <c r="E1457" s="4">
        <v>2.5</v>
      </c>
    </row>
    <row r="1458" spans="1:5" x14ac:dyDescent="0.35">
      <c r="A1458" s="1">
        <v>44922</v>
      </c>
      <c r="B1458" s="2">
        <v>44922</v>
      </c>
      <c r="C1458">
        <v>2</v>
      </c>
      <c r="D1458">
        <v>2.75</v>
      </c>
      <c r="E1458" s="4">
        <v>2.5</v>
      </c>
    </row>
    <row r="1459" spans="1:5" x14ac:dyDescent="0.35">
      <c r="A1459" s="1">
        <v>44923</v>
      </c>
      <c r="B1459" s="2">
        <v>44923</v>
      </c>
      <c r="C1459">
        <v>2</v>
      </c>
      <c r="D1459">
        <v>2.75</v>
      </c>
      <c r="E1459" s="4">
        <v>2.5</v>
      </c>
    </row>
    <row r="1460" spans="1:5" x14ac:dyDescent="0.35">
      <c r="A1460" s="1">
        <v>44924</v>
      </c>
      <c r="B1460" s="2">
        <v>44924</v>
      </c>
      <c r="C1460">
        <v>2</v>
      </c>
      <c r="D1460">
        <v>2.75</v>
      </c>
      <c r="E1460" s="4">
        <v>2.5</v>
      </c>
    </row>
    <row r="1461" spans="1:5" x14ac:dyDescent="0.35">
      <c r="A1461" s="1">
        <v>44925</v>
      </c>
      <c r="B1461" s="2">
        <v>44925</v>
      </c>
      <c r="C1461">
        <v>2</v>
      </c>
      <c r="D1461">
        <v>2.75</v>
      </c>
      <c r="E1461" s="4">
        <v>2.5</v>
      </c>
    </row>
    <row r="1462" spans="1:5" x14ac:dyDescent="0.35">
      <c r="A1462" s="1">
        <v>44926</v>
      </c>
      <c r="B1462" s="2">
        <v>44926</v>
      </c>
      <c r="C1462">
        <v>2</v>
      </c>
      <c r="D1462">
        <v>2.75</v>
      </c>
      <c r="E1462" s="4">
        <v>2.5</v>
      </c>
    </row>
    <row r="1463" spans="1:5" x14ac:dyDescent="0.35">
      <c r="A1463" s="1">
        <v>44927</v>
      </c>
      <c r="B1463" s="2">
        <v>44927</v>
      </c>
      <c r="C1463">
        <v>2</v>
      </c>
      <c r="D1463">
        <v>2.75</v>
      </c>
      <c r="E1463" s="4">
        <v>2.5</v>
      </c>
    </row>
    <row r="1464" spans="1:5" x14ac:dyDescent="0.35">
      <c r="A1464" s="1">
        <v>44928</v>
      </c>
      <c r="B1464" s="2">
        <v>44928</v>
      </c>
      <c r="C1464">
        <v>2</v>
      </c>
      <c r="D1464">
        <v>2.75</v>
      </c>
      <c r="E1464" s="4">
        <v>2.5</v>
      </c>
    </row>
    <row r="1465" spans="1:5" x14ac:dyDescent="0.35">
      <c r="A1465" s="1">
        <v>44929</v>
      </c>
      <c r="B1465" s="2">
        <v>44929</v>
      </c>
      <c r="C1465">
        <v>2</v>
      </c>
      <c r="D1465">
        <v>2.75</v>
      </c>
      <c r="E1465" s="4">
        <v>2.5</v>
      </c>
    </row>
    <row r="1466" spans="1:5" x14ac:dyDescent="0.35">
      <c r="A1466" s="1">
        <v>44930</v>
      </c>
      <c r="B1466" s="2">
        <v>44930</v>
      </c>
      <c r="C1466">
        <v>2</v>
      </c>
      <c r="D1466">
        <v>2.75</v>
      </c>
      <c r="E1466" s="4">
        <v>2.5</v>
      </c>
    </row>
    <row r="1467" spans="1:5" x14ac:dyDescent="0.35">
      <c r="A1467" s="1">
        <v>44931</v>
      </c>
      <c r="B1467" s="2">
        <v>44931</v>
      </c>
      <c r="C1467">
        <v>2</v>
      </c>
      <c r="D1467">
        <v>2.75</v>
      </c>
      <c r="E1467" s="4">
        <v>2.5</v>
      </c>
    </row>
    <row r="1468" spans="1:5" x14ac:dyDescent="0.35">
      <c r="A1468" s="1">
        <v>44932</v>
      </c>
      <c r="B1468" s="2">
        <v>44932</v>
      </c>
      <c r="C1468">
        <v>2</v>
      </c>
      <c r="D1468">
        <v>2.75</v>
      </c>
      <c r="E1468" s="4">
        <v>2.5</v>
      </c>
    </row>
    <row r="1469" spans="1:5" x14ac:dyDescent="0.35">
      <c r="A1469" s="1">
        <v>44933</v>
      </c>
      <c r="B1469" s="2">
        <v>44933</v>
      </c>
      <c r="C1469">
        <v>2</v>
      </c>
      <c r="D1469">
        <v>2.75</v>
      </c>
      <c r="E1469" s="4">
        <v>2.5</v>
      </c>
    </row>
    <row r="1470" spans="1:5" x14ac:dyDescent="0.35">
      <c r="A1470" s="1">
        <v>44934</v>
      </c>
      <c r="B1470" s="2">
        <v>44934</v>
      </c>
      <c r="C1470">
        <v>2</v>
      </c>
      <c r="D1470">
        <v>2.75</v>
      </c>
      <c r="E1470" s="4">
        <v>2.5</v>
      </c>
    </row>
    <row r="1471" spans="1:5" x14ac:dyDescent="0.35">
      <c r="A1471" s="1">
        <v>44935</v>
      </c>
      <c r="B1471" s="2">
        <v>44935</v>
      </c>
      <c r="C1471">
        <v>2</v>
      </c>
      <c r="D1471">
        <v>2.75</v>
      </c>
      <c r="E1471" s="4">
        <v>2.5</v>
      </c>
    </row>
    <row r="1472" spans="1:5" x14ac:dyDescent="0.35">
      <c r="A1472" s="1">
        <v>44936</v>
      </c>
      <c r="B1472" s="2">
        <v>44936</v>
      </c>
      <c r="C1472">
        <v>2</v>
      </c>
      <c r="D1472">
        <v>2.75</v>
      </c>
      <c r="E1472" s="4">
        <v>2.5</v>
      </c>
    </row>
    <row r="1473" spans="1:5" x14ac:dyDescent="0.35">
      <c r="A1473" s="1">
        <v>44937</v>
      </c>
      <c r="B1473" s="2">
        <v>44937</v>
      </c>
      <c r="C1473">
        <v>2</v>
      </c>
      <c r="D1473">
        <v>2.75</v>
      </c>
      <c r="E1473" s="4">
        <v>2.5</v>
      </c>
    </row>
    <row r="1474" spans="1:5" x14ac:dyDescent="0.35">
      <c r="A1474" s="1">
        <v>44938</v>
      </c>
      <c r="B1474" s="2">
        <v>44938</v>
      </c>
      <c r="C1474">
        <v>2</v>
      </c>
      <c r="D1474">
        <v>2.75</v>
      </c>
      <c r="E1474" s="4">
        <v>2.5</v>
      </c>
    </row>
    <row r="1475" spans="1:5" x14ac:dyDescent="0.35">
      <c r="A1475" s="1">
        <v>44939</v>
      </c>
      <c r="B1475" s="2">
        <v>44939</v>
      </c>
      <c r="C1475">
        <v>2</v>
      </c>
      <c r="D1475">
        <v>2.75</v>
      </c>
      <c r="E1475" s="4">
        <v>2.5</v>
      </c>
    </row>
    <row r="1476" spans="1:5" x14ac:dyDescent="0.35">
      <c r="A1476" s="1">
        <v>44940</v>
      </c>
      <c r="B1476" s="2">
        <v>44940</v>
      </c>
      <c r="C1476">
        <v>2</v>
      </c>
      <c r="D1476">
        <v>2.75</v>
      </c>
      <c r="E1476" s="4">
        <v>2.5</v>
      </c>
    </row>
    <row r="1477" spans="1:5" x14ac:dyDescent="0.35">
      <c r="A1477" s="1">
        <v>44941</v>
      </c>
      <c r="B1477" s="2">
        <v>44941</v>
      </c>
      <c r="C1477">
        <v>2</v>
      </c>
      <c r="D1477">
        <v>2.75</v>
      </c>
      <c r="E1477" s="4">
        <v>2.5</v>
      </c>
    </row>
    <row r="1478" spans="1:5" x14ac:dyDescent="0.35">
      <c r="A1478" s="1">
        <v>44942</v>
      </c>
      <c r="B1478" s="2">
        <v>44942</v>
      </c>
      <c r="C1478">
        <v>2</v>
      </c>
      <c r="D1478">
        <v>2.75</v>
      </c>
      <c r="E1478" s="4">
        <v>2.5</v>
      </c>
    </row>
    <row r="1479" spans="1:5" x14ac:dyDescent="0.35">
      <c r="A1479" s="1">
        <v>44943</v>
      </c>
      <c r="B1479" s="2">
        <v>44943</v>
      </c>
      <c r="C1479">
        <v>2</v>
      </c>
      <c r="D1479">
        <v>2.75</v>
      </c>
      <c r="E1479" s="4">
        <v>2.5</v>
      </c>
    </row>
    <row r="1480" spans="1:5" x14ac:dyDescent="0.35">
      <c r="A1480" s="1">
        <v>44944</v>
      </c>
      <c r="B1480" s="2">
        <v>44944</v>
      </c>
      <c r="C1480">
        <v>2</v>
      </c>
      <c r="D1480">
        <v>2.75</v>
      </c>
      <c r="E1480" s="4">
        <v>2.5</v>
      </c>
    </row>
    <row r="1481" spans="1:5" x14ac:dyDescent="0.35">
      <c r="A1481" s="1">
        <v>44945</v>
      </c>
      <c r="B1481" s="2">
        <v>44945</v>
      </c>
      <c r="C1481">
        <v>2</v>
      </c>
      <c r="D1481">
        <v>2.75</v>
      </c>
      <c r="E1481" s="4">
        <v>2.5</v>
      </c>
    </row>
    <row r="1482" spans="1:5" x14ac:dyDescent="0.35">
      <c r="A1482" s="1">
        <v>44946</v>
      </c>
      <c r="B1482" s="2">
        <v>44946</v>
      </c>
      <c r="C1482">
        <v>2</v>
      </c>
      <c r="D1482">
        <v>2.75</v>
      </c>
      <c r="E1482" s="4">
        <v>2.5</v>
      </c>
    </row>
    <row r="1483" spans="1:5" x14ac:dyDescent="0.35">
      <c r="A1483" s="1">
        <v>44947</v>
      </c>
      <c r="B1483" s="2">
        <v>44947</v>
      </c>
      <c r="C1483">
        <v>2</v>
      </c>
      <c r="D1483">
        <v>2.75</v>
      </c>
      <c r="E1483" s="4">
        <v>2.5</v>
      </c>
    </row>
    <row r="1484" spans="1:5" x14ac:dyDescent="0.35">
      <c r="A1484" s="1">
        <v>44948</v>
      </c>
      <c r="B1484" s="2">
        <v>44948</v>
      </c>
      <c r="C1484">
        <v>2</v>
      </c>
      <c r="D1484">
        <v>2.75</v>
      </c>
      <c r="E1484" s="4">
        <v>2.5</v>
      </c>
    </row>
    <row r="1485" spans="1:5" x14ac:dyDescent="0.35">
      <c r="A1485" s="1">
        <v>44949</v>
      </c>
      <c r="B1485" s="2">
        <v>44949</v>
      </c>
      <c r="C1485">
        <v>2</v>
      </c>
      <c r="D1485">
        <v>2.75</v>
      </c>
      <c r="E1485" s="4">
        <v>2.5</v>
      </c>
    </row>
    <row r="1486" spans="1:5" x14ac:dyDescent="0.35">
      <c r="A1486" s="1">
        <v>44950</v>
      </c>
      <c r="B1486" s="2">
        <v>44950</v>
      </c>
      <c r="C1486">
        <v>2</v>
      </c>
      <c r="D1486">
        <v>2.75</v>
      </c>
      <c r="E1486" s="4">
        <v>2.5</v>
      </c>
    </row>
    <row r="1487" spans="1:5" x14ac:dyDescent="0.35">
      <c r="A1487" s="1">
        <v>44951</v>
      </c>
      <c r="B1487" s="2">
        <v>44951</v>
      </c>
      <c r="C1487">
        <v>2</v>
      </c>
      <c r="D1487">
        <v>2.75</v>
      </c>
      <c r="E1487" s="4">
        <v>2.5</v>
      </c>
    </row>
    <row r="1488" spans="1:5" x14ac:dyDescent="0.35">
      <c r="A1488" s="1">
        <v>44952</v>
      </c>
      <c r="B1488" s="2">
        <v>44952</v>
      </c>
      <c r="C1488">
        <v>2</v>
      </c>
      <c r="D1488">
        <v>2.75</v>
      </c>
      <c r="E1488" s="4">
        <v>2.5</v>
      </c>
    </row>
    <row r="1489" spans="1:5" x14ac:dyDescent="0.35">
      <c r="A1489" s="1">
        <v>44953</v>
      </c>
      <c r="B1489" s="2">
        <v>44953</v>
      </c>
      <c r="C1489">
        <v>2</v>
      </c>
      <c r="D1489">
        <v>2.75</v>
      </c>
      <c r="E1489" s="4">
        <v>2.5</v>
      </c>
    </row>
    <row r="1490" spans="1:5" x14ac:dyDescent="0.35">
      <c r="A1490" s="1">
        <v>44954</v>
      </c>
      <c r="B1490" s="2">
        <v>44954</v>
      </c>
      <c r="C1490">
        <v>2</v>
      </c>
      <c r="D1490">
        <v>2.75</v>
      </c>
      <c r="E1490" s="4">
        <v>2.5</v>
      </c>
    </row>
    <row r="1491" spans="1:5" x14ac:dyDescent="0.35">
      <c r="A1491" s="1">
        <v>44955</v>
      </c>
      <c r="B1491" s="2">
        <v>44955</v>
      </c>
      <c r="C1491">
        <v>2</v>
      </c>
      <c r="D1491">
        <v>2.75</v>
      </c>
      <c r="E1491" s="4">
        <v>2.5</v>
      </c>
    </row>
    <row r="1492" spans="1:5" x14ac:dyDescent="0.35">
      <c r="A1492" s="1">
        <v>44956</v>
      </c>
      <c r="B1492" s="2">
        <v>44956</v>
      </c>
      <c r="C1492">
        <v>2</v>
      </c>
      <c r="D1492">
        <v>2.75</v>
      </c>
      <c r="E1492" s="4">
        <v>2.5</v>
      </c>
    </row>
    <row r="1493" spans="1:5" x14ac:dyDescent="0.35">
      <c r="A1493" s="1">
        <v>44957</v>
      </c>
      <c r="B1493" s="2">
        <v>44957</v>
      </c>
      <c r="C1493">
        <v>2</v>
      </c>
      <c r="D1493">
        <v>2.75</v>
      </c>
      <c r="E1493" s="4">
        <v>2.5</v>
      </c>
    </row>
    <row r="1494" spans="1:5" x14ac:dyDescent="0.35">
      <c r="A1494" s="1">
        <v>44958</v>
      </c>
      <c r="B1494" s="2">
        <v>44958</v>
      </c>
      <c r="C1494">
        <v>2</v>
      </c>
      <c r="D1494">
        <v>2.75</v>
      </c>
      <c r="E1494" s="4">
        <v>2.5</v>
      </c>
    </row>
    <row r="1495" spans="1:5" x14ac:dyDescent="0.35">
      <c r="A1495" s="1">
        <v>44959</v>
      </c>
      <c r="B1495" s="2">
        <v>44959</v>
      </c>
      <c r="C1495">
        <v>2</v>
      </c>
      <c r="D1495">
        <v>2.75</v>
      </c>
      <c r="E1495" s="4">
        <v>2.5</v>
      </c>
    </row>
    <row r="1496" spans="1:5" x14ac:dyDescent="0.35">
      <c r="A1496" s="1">
        <v>44960</v>
      </c>
      <c r="B1496" s="2">
        <v>44960</v>
      </c>
      <c r="C1496">
        <v>2</v>
      </c>
      <c r="D1496">
        <v>2.75</v>
      </c>
      <c r="E1496" s="4">
        <v>2.5</v>
      </c>
    </row>
    <row r="1497" spans="1:5" x14ac:dyDescent="0.35">
      <c r="A1497" s="1">
        <v>44961</v>
      </c>
      <c r="B1497" s="2">
        <v>44961</v>
      </c>
      <c r="C1497">
        <v>2</v>
      </c>
      <c r="D1497">
        <v>2.75</v>
      </c>
      <c r="E1497" s="4">
        <v>2.5</v>
      </c>
    </row>
    <row r="1498" spans="1:5" x14ac:dyDescent="0.35">
      <c r="A1498" s="1">
        <v>44962</v>
      </c>
      <c r="B1498" s="2">
        <v>44962</v>
      </c>
      <c r="C1498">
        <v>2</v>
      </c>
      <c r="D1498">
        <v>2.75</v>
      </c>
      <c r="E1498" s="4">
        <v>2.5</v>
      </c>
    </row>
    <row r="1499" spans="1:5" x14ac:dyDescent="0.35">
      <c r="A1499" s="1">
        <v>44963</v>
      </c>
      <c r="B1499" s="2">
        <v>44963</v>
      </c>
      <c r="C1499">
        <v>2</v>
      </c>
      <c r="D1499">
        <v>2.75</v>
      </c>
      <c r="E1499" s="4">
        <v>2.5</v>
      </c>
    </row>
    <row r="1500" spans="1:5" x14ac:dyDescent="0.35">
      <c r="A1500" s="1">
        <v>44964</v>
      </c>
      <c r="B1500" s="2">
        <v>44964</v>
      </c>
      <c r="C1500">
        <v>2</v>
      </c>
      <c r="D1500">
        <v>2.75</v>
      </c>
      <c r="E1500" s="4">
        <v>2.5</v>
      </c>
    </row>
    <row r="1501" spans="1:5" x14ac:dyDescent="0.35">
      <c r="A1501" s="1">
        <v>44965</v>
      </c>
      <c r="B1501" s="2">
        <v>44965</v>
      </c>
      <c r="C1501">
        <v>2.5</v>
      </c>
      <c r="D1501">
        <v>3.25</v>
      </c>
      <c r="E1501" s="4">
        <v>3</v>
      </c>
    </row>
    <row r="1502" spans="1:5" x14ac:dyDescent="0.35">
      <c r="A1502" s="1">
        <v>44966</v>
      </c>
      <c r="B1502" s="2">
        <v>44966</v>
      </c>
      <c r="C1502">
        <v>2.5</v>
      </c>
      <c r="D1502">
        <v>3.25</v>
      </c>
      <c r="E1502" s="4">
        <v>3</v>
      </c>
    </row>
    <row r="1503" spans="1:5" x14ac:dyDescent="0.35">
      <c r="A1503" s="1">
        <v>44967</v>
      </c>
      <c r="B1503" s="2">
        <v>44967</v>
      </c>
      <c r="C1503">
        <v>2.5</v>
      </c>
      <c r="D1503">
        <v>3.25</v>
      </c>
      <c r="E1503" s="4">
        <v>3</v>
      </c>
    </row>
    <row r="1504" spans="1:5" x14ac:dyDescent="0.35">
      <c r="A1504" s="1">
        <v>44968</v>
      </c>
      <c r="B1504" s="2">
        <v>44968</v>
      </c>
      <c r="C1504">
        <v>2.5</v>
      </c>
      <c r="D1504">
        <v>3.25</v>
      </c>
      <c r="E1504" s="4">
        <v>3</v>
      </c>
    </row>
    <row r="1505" spans="1:5" x14ac:dyDescent="0.35">
      <c r="A1505" s="1">
        <v>44969</v>
      </c>
      <c r="B1505" s="2">
        <v>44969</v>
      </c>
      <c r="C1505">
        <v>2.5</v>
      </c>
      <c r="D1505">
        <v>3.25</v>
      </c>
      <c r="E1505" s="4">
        <v>3</v>
      </c>
    </row>
    <row r="1506" spans="1:5" x14ac:dyDescent="0.35">
      <c r="A1506" s="1">
        <v>44970</v>
      </c>
      <c r="B1506" s="2">
        <v>44970</v>
      </c>
      <c r="C1506">
        <v>2.5</v>
      </c>
      <c r="D1506">
        <v>3.25</v>
      </c>
      <c r="E1506" s="4">
        <v>3</v>
      </c>
    </row>
    <row r="1507" spans="1:5" x14ac:dyDescent="0.35">
      <c r="A1507" s="1">
        <v>44971</v>
      </c>
      <c r="B1507" s="2">
        <v>44971</v>
      </c>
      <c r="C1507">
        <v>2.5</v>
      </c>
      <c r="D1507">
        <v>3.25</v>
      </c>
      <c r="E1507" s="4">
        <v>3</v>
      </c>
    </row>
    <row r="1508" spans="1:5" x14ac:dyDescent="0.35">
      <c r="A1508" s="1">
        <v>44972</v>
      </c>
      <c r="B1508" s="2">
        <v>44972</v>
      </c>
      <c r="C1508">
        <v>2.5</v>
      </c>
      <c r="D1508">
        <v>3.25</v>
      </c>
      <c r="E1508" s="4">
        <v>3</v>
      </c>
    </row>
    <row r="1509" spans="1:5" x14ac:dyDescent="0.35">
      <c r="A1509" s="1">
        <v>44973</v>
      </c>
      <c r="B1509" s="2">
        <v>44973</v>
      </c>
      <c r="C1509">
        <v>2.5</v>
      </c>
      <c r="D1509">
        <v>3.25</v>
      </c>
      <c r="E1509" s="4">
        <v>3</v>
      </c>
    </row>
    <row r="1510" spans="1:5" x14ac:dyDescent="0.35">
      <c r="A1510" s="1">
        <v>44974</v>
      </c>
      <c r="B1510" s="2">
        <v>44974</v>
      </c>
      <c r="C1510">
        <v>2.5</v>
      </c>
      <c r="D1510">
        <v>3.25</v>
      </c>
      <c r="E1510" s="4">
        <v>3</v>
      </c>
    </row>
    <row r="1511" spans="1:5" x14ac:dyDescent="0.35">
      <c r="A1511" s="1">
        <v>44975</v>
      </c>
      <c r="B1511" s="2">
        <v>44975</v>
      </c>
      <c r="C1511">
        <v>2.5</v>
      </c>
      <c r="D1511">
        <v>3.25</v>
      </c>
      <c r="E1511" s="4">
        <v>3</v>
      </c>
    </row>
    <row r="1512" spans="1:5" x14ac:dyDescent="0.35">
      <c r="A1512" s="1">
        <v>44976</v>
      </c>
      <c r="B1512" s="2">
        <v>44976</v>
      </c>
      <c r="C1512">
        <v>2.5</v>
      </c>
      <c r="D1512">
        <v>3.25</v>
      </c>
      <c r="E1512" s="4">
        <v>3</v>
      </c>
    </row>
    <row r="1513" spans="1:5" x14ac:dyDescent="0.35">
      <c r="A1513" s="1">
        <v>44977</v>
      </c>
      <c r="B1513" s="2">
        <v>44977</v>
      </c>
      <c r="C1513">
        <v>2.5</v>
      </c>
      <c r="D1513">
        <v>3.25</v>
      </c>
      <c r="E1513" s="4">
        <v>3</v>
      </c>
    </row>
    <row r="1514" spans="1:5" x14ac:dyDescent="0.35">
      <c r="A1514" s="1">
        <v>44978</v>
      </c>
      <c r="B1514" s="2">
        <v>44978</v>
      </c>
      <c r="C1514">
        <v>2.5</v>
      </c>
      <c r="D1514">
        <v>3.25</v>
      </c>
      <c r="E1514" s="4">
        <v>3</v>
      </c>
    </row>
    <row r="1515" spans="1:5" x14ac:dyDescent="0.35">
      <c r="A1515" s="1">
        <v>44979</v>
      </c>
      <c r="B1515" s="2">
        <v>44979</v>
      </c>
      <c r="C1515">
        <v>2.5</v>
      </c>
      <c r="D1515">
        <v>3.25</v>
      </c>
      <c r="E1515" s="4">
        <v>3</v>
      </c>
    </row>
    <row r="1516" spans="1:5" x14ac:dyDescent="0.35">
      <c r="A1516" s="1">
        <v>44980</v>
      </c>
      <c r="B1516" s="2">
        <v>44980</v>
      </c>
      <c r="C1516">
        <v>2.5</v>
      </c>
      <c r="D1516">
        <v>3.25</v>
      </c>
      <c r="E1516" s="4">
        <v>3</v>
      </c>
    </row>
    <row r="1517" spans="1:5" x14ac:dyDescent="0.35">
      <c r="A1517" s="1">
        <v>44981</v>
      </c>
      <c r="B1517" s="2">
        <v>44981</v>
      </c>
      <c r="C1517">
        <v>2.5</v>
      </c>
      <c r="D1517">
        <v>3.25</v>
      </c>
      <c r="E1517" s="4">
        <v>3</v>
      </c>
    </row>
    <row r="1518" spans="1:5" x14ac:dyDescent="0.35">
      <c r="A1518" s="1">
        <v>44982</v>
      </c>
      <c r="B1518" s="2">
        <v>44982</v>
      </c>
      <c r="C1518">
        <v>2.5</v>
      </c>
      <c r="D1518">
        <v>3.25</v>
      </c>
      <c r="E1518" s="4">
        <v>3</v>
      </c>
    </row>
    <row r="1519" spans="1:5" x14ac:dyDescent="0.35">
      <c r="A1519" s="1">
        <v>44983</v>
      </c>
      <c r="B1519" s="2">
        <v>44983</v>
      </c>
      <c r="C1519">
        <v>2.5</v>
      </c>
      <c r="D1519">
        <v>3.25</v>
      </c>
      <c r="E1519" s="4">
        <v>3</v>
      </c>
    </row>
    <row r="1520" spans="1:5" x14ac:dyDescent="0.35">
      <c r="A1520" s="1">
        <v>44984</v>
      </c>
      <c r="B1520" s="2">
        <v>44984</v>
      </c>
      <c r="C1520">
        <v>2.5</v>
      </c>
      <c r="D1520">
        <v>3.25</v>
      </c>
      <c r="E1520" s="4">
        <v>3</v>
      </c>
    </row>
    <row r="1521" spans="1:5" x14ac:dyDescent="0.35">
      <c r="A1521" s="1">
        <v>44985</v>
      </c>
      <c r="B1521" s="2">
        <v>44985</v>
      </c>
      <c r="C1521">
        <v>2.5</v>
      </c>
      <c r="D1521">
        <v>3.25</v>
      </c>
      <c r="E1521" s="4">
        <v>3</v>
      </c>
    </row>
    <row r="1522" spans="1:5" x14ac:dyDescent="0.35">
      <c r="A1522" s="1">
        <v>44986</v>
      </c>
      <c r="B1522" s="2">
        <v>44986</v>
      </c>
      <c r="C1522">
        <v>2.5</v>
      </c>
      <c r="D1522">
        <v>3.25</v>
      </c>
      <c r="E1522" s="4">
        <v>3</v>
      </c>
    </row>
    <row r="1523" spans="1:5" x14ac:dyDescent="0.35">
      <c r="A1523" s="1">
        <v>44987</v>
      </c>
      <c r="B1523" s="2">
        <v>44987</v>
      </c>
      <c r="C1523">
        <v>2.5</v>
      </c>
      <c r="D1523">
        <v>3.25</v>
      </c>
      <c r="E1523" s="4">
        <v>3</v>
      </c>
    </row>
    <row r="1524" spans="1:5" x14ac:dyDescent="0.35">
      <c r="A1524" s="1">
        <v>44988</v>
      </c>
      <c r="B1524" s="2">
        <v>44988</v>
      </c>
      <c r="C1524">
        <v>2.5</v>
      </c>
      <c r="D1524">
        <v>3.25</v>
      </c>
      <c r="E1524" s="4">
        <v>3</v>
      </c>
    </row>
    <row r="1525" spans="1:5" x14ac:dyDescent="0.35">
      <c r="A1525" s="1">
        <v>44989</v>
      </c>
      <c r="B1525" s="2">
        <v>44989</v>
      </c>
      <c r="C1525">
        <v>2.5</v>
      </c>
      <c r="D1525">
        <v>3.25</v>
      </c>
      <c r="E1525" s="4">
        <v>3</v>
      </c>
    </row>
    <row r="1526" spans="1:5" x14ac:dyDescent="0.35">
      <c r="A1526" s="1">
        <v>44990</v>
      </c>
      <c r="B1526" s="2">
        <v>44990</v>
      </c>
      <c r="C1526">
        <v>2.5</v>
      </c>
      <c r="D1526">
        <v>3.25</v>
      </c>
      <c r="E1526" s="4">
        <v>3</v>
      </c>
    </row>
    <row r="1527" spans="1:5" x14ac:dyDescent="0.35">
      <c r="A1527" s="1">
        <v>44991</v>
      </c>
      <c r="B1527" s="2">
        <v>44991</v>
      </c>
      <c r="C1527">
        <v>2.5</v>
      </c>
      <c r="D1527">
        <v>3.25</v>
      </c>
      <c r="E1527" s="4">
        <v>3</v>
      </c>
    </row>
    <row r="1528" spans="1:5" x14ac:dyDescent="0.35">
      <c r="A1528" s="1">
        <v>44992</v>
      </c>
      <c r="B1528" s="2">
        <v>44992</v>
      </c>
      <c r="C1528">
        <v>2.5</v>
      </c>
      <c r="D1528">
        <v>3.25</v>
      </c>
      <c r="E1528" s="4">
        <v>3</v>
      </c>
    </row>
    <row r="1529" spans="1:5" x14ac:dyDescent="0.35">
      <c r="A1529" s="1">
        <v>44993</v>
      </c>
      <c r="B1529" s="2">
        <v>44993</v>
      </c>
      <c r="C1529">
        <v>2.5</v>
      </c>
      <c r="D1529">
        <v>3.25</v>
      </c>
      <c r="E1529" s="4">
        <v>3</v>
      </c>
    </row>
    <row r="1530" spans="1:5" x14ac:dyDescent="0.35">
      <c r="A1530" s="1">
        <v>44994</v>
      </c>
      <c r="B1530" s="2">
        <v>44994</v>
      </c>
      <c r="C1530">
        <v>2.5</v>
      </c>
      <c r="D1530">
        <v>3.25</v>
      </c>
      <c r="E1530" s="4">
        <v>3</v>
      </c>
    </row>
    <row r="1531" spans="1:5" x14ac:dyDescent="0.35">
      <c r="A1531" s="1">
        <v>44995</v>
      </c>
      <c r="B1531" s="2">
        <v>44995</v>
      </c>
      <c r="C1531">
        <v>2.5</v>
      </c>
      <c r="D1531">
        <v>3.25</v>
      </c>
      <c r="E1531" s="4">
        <v>3</v>
      </c>
    </row>
    <row r="1532" spans="1:5" x14ac:dyDescent="0.35">
      <c r="A1532" s="1">
        <v>44996</v>
      </c>
      <c r="B1532" s="2">
        <v>44996</v>
      </c>
      <c r="C1532">
        <v>2.5</v>
      </c>
      <c r="D1532">
        <v>3.25</v>
      </c>
      <c r="E1532" s="4">
        <v>3</v>
      </c>
    </row>
    <row r="1533" spans="1:5" x14ac:dyDescent="0.35">
      <c r="A1533" s="1">
        <v>44997</v>
      </c>
      <c r="B1533" s="2">
        <v>44997</v>
      </c>
      <c r="C1533">
        <v>2.5</v>
      </c>
      <c r="D1533">
        <v>3.25</v>
      </c>
      <c r="E1533" s="4">
        <v>3</v>
      </c>
    </row>
    <row r="1534" spans="1:5" x14ac:dyDescent="0.35">
      <c r="A1534" s="1">
        <v>44998</v>
      </c>
      <c r="B1534" s="2">
        <v>44998</v>
      </c>
      <c r="C1534">
        <v>2.5</v>
      </c>
      <c r="D1534">
        <v>3.25</v>
      </c>
      <c r="E1534" s="4">
        <v>3</v>
      </c>
    </row>
    <row r="1535" spans="1:5" x14ac:dyDescent="0.35">
      <c r="A1535" s="1">
        <v>44999</v>
      </c>
      <c r="B1535" s="2">
        <v>44999</v>
      </c>
      <c r="C1535">
        <v>2.5</v>
      </c>
      <c r="D1535">
        <v>3.25</v>
      </c>
      <c r="E1535" s="4">
        <v>3</v>
      </c>
    </row>
    <row r="1536" spans="1:5" x14ac:dyDescent="0.35">
      <c r="A1536" s="1">
        <v>45000</v>
      </c>
      <c r="B1536" s="2">
        <v>45000</v>
      </c>
      <c r="C1536">
        <v>2.5</v>
      </c>
      <c r="D1536">
        <v>3.25</v>
      </c>
      <c r="E1536" s="4">
        <v>3</v>
      </c>
    </row>
    <row r="1537" spans="1:5" x14ac:dyDescent="0.35">
      <c r="A1537" s="1">
        <v>45001</v>
      </c>
      <c r="B1537" s="2">
        <v>45001</v>
      </c>
      <c r="C1537">
        <v>2.5</v>
      </c>
      <c r="D1537">
        <v>3.25</v>
      </c>
      <c r="E1537" s="4">
        <v>3</v>
      </c>
    </row>
    <row r="1538" spans="1:5" x14ac:dyDescent="0.35">
      <c r="A1538" s="1">
        <v>45002</v>
      </c>
      <c r="B1538" s="2">
        <v>45002</v>
      </c>
      <c r="C1538">
        <v>2.5</v>
      </c>
      <c r="D1538">
        <v>3.25</v>
      </c>
      <c r="E1538" s="4">
        <v>3</v>
      </c>
    </row>
    <row r="1539" spans="1:5" x14ac:dyDescent="0.35">
      <c r="A1539" s="1">
        <v>45003</v>
      </c>
      <c r="B1539" s="2">
        <v>45003</v>
      </c>
      <c r="C1539">
        <v>2.5</v>
      </c>
      <c r="D1539">
        <v>3.25</v>
      </c>
      <c r="E1539" s="4">
        <v>3</v>
      </c>
    </row>
    <row r="1540" spans="1:5" x14ac:dyDescent="0.35">
      <c r="A1540" s="1">
        <v>45004</v>
      </c>
      <c r="B1540" s="2">
        <v>45004</v>
      </c>
      <c r="C1540">
        <v>2.5</v>
      </c>
      <c r="D1540">
        <v>3.25</v>
      </c>
      <c r="E1540" s="4">
        <v>3</v>
      </c>
    </row>
    <row r="1541" spans="1:5" x14ac:dyDescent="0.35">
      <c r="A1541" s="1">
        <v>45005</v>
      </c>
      <c r="B1541" s="2">
        <v>45005</v>
      </c>
      <c r="C1541">
        <v>2.5</v>
      </c>
      <c r="D1541">
        <v>3.25</v>
      </c>
      <c r="E1541" s="4">
        <v>3</v>
      </c>
    </row>
    <row r="1542" spans="1:5" x14ac:dyDescent="0.35">
      <c r="A1542" s="1">
        <v>45006</v>
      </c>
      <c r="B1542" s="2">
        <v>45006</v>
      </c>
      <c r="C1542">
        <v>2.5</v>
      </c>
      <c r="D1542">
        <v>3.25</v>
      </c>
      <c r="E1542" s="4">
        <v>3</v>
      </c>
    </row>
    <row r="1543" spans="1:5" x14ac:dyDescent="0.35">
      <c r="A1543" s="1">
        <v>45007</v>
      </c>
      <c r="B1543" s="2">
        <v>45007</v>
      </c>
      <c r="C1543">
        <v>3</v>
      </c>
      <c r="D1543">
        <v>3.75</v>
      </c>
      <c r="E1543" s="4">
        <v>3.5</v>
      </c>
    </row>
    <row r="1544" spans="1:5" x14ac:dyDescent="0.35">
      <c r="A1544" s="1">
        <v>45008</v>
      </c>
      <c r="B1544" s="2">
        <v>45008</v>
      </c>
      <c r="C1544">
        <v>3</v>
      </c>
      <c r="D1544">
        <v>3.75</v>
      </c>
      <c r="E1544" s="4">
        <v>3.5</v>
      </c>
    </row>
    <row r="1545" spans="1:5" x14ac:dyDescent="0.35">
      <c r="A1545" s="1">
        <v>45009</v>
      </c>
      <c r="B1545" s="2">
        <v>45009</v>
      </c>
      <c r="C1545">
        <v>3</v>
      </c>
      <c r="D1545">
        <v>3.75</v>
      </c>
      <c r="E1545" s="4">
        <v>3.5</v>
      </c>
    </row>
    <row r="1546" spans="1:5" x14ac:dyDescent="0.35">
      <c r="A1546" s="1">
        <v>45010</v>
      </c>
      <c r="B1546" s="2">
        <v>45010</v>
      </c>
      <c r="C1546">
        <v>3</v>
      </c>
      <c r="D1546">
        <v>3.75</v>
      </c>
      <c r="E1546" s="4">
        <v>3.5</v>
      </c>
    </row>
    <row r="1547" spans="1:5" x14ac:dyDescent="0.35">
      <c r="A1547" s="1">
        <v>45011</v>
      </c>
      <c r="B1547" s="2">
        <v>45011</v>
      </c>
      <c r="C1547">
        <v>3</v>
      </c>
      <c r="D1547">
        <v>3.75</v>
      </c>
      <c r="E1547" s="4">
        <v>3.5</v>
      </c>
    </row>
    <row r="1548" spans="1:5" x14ac:dyDescent="0.35">
      <c r="A1548" s="1">
        <v>45012</v>
      </c>
      <c r="B1548" s="2">
        <v>45012</v>
      </c>
      <c r="C1548">
        <v>3</v>
      </c>
      <c r="D1548">
        <v>3.75</v>
      </c>
      <c r="E1548" s="4">
        <v>3.5</v>
      </c>
    </row>
    <row r="1549" spans="1:5" x14ac:dyDescent="0.35">
      <c r="A1549" s="1">
        <v>45013</v>
      </c>
      <c r="B1549" s="2">
        <v>45013</v>
      </c>
      <c r="C1549">
        <v>3</v>
      </c>
      <c r="D1549">
        <v>3.75</v>
      </c>
      <c r="E1549" s="4">
        <v>3.5</v>
      </c>
    </row>
    <row r="1550" spans="1:5" x14ac:dyDescent="0.35">
      <c r="A1550" s="1">
        <v>45014</v>
      </c>
      <c r="B1550" s="2">
        <v>45014</v>
      </c>
      <c r="C1550">
        <v>3</v>
      </c>
      <c r="D1550">
        <v>3.75</v>
      </c>
      <c r="E1550" s="4">
        <v>3.5</v>
      </c>
    </row>
    <row r="1551" spans="1:5" x14ac:dyDescent="0.35">
      <c r="A1551" s="1">
        <v>45015</v>
      </c>
      <c r="B1551" s="2">
        <v>45015</v>
      </c>
      <c r="C1551">
        <v>3</v>
      </c>
      <c r="D1551">
        <v>3.75</v>
      </c>
      <c r="E1551" s="4">
        <v>3.5</v>
      </c>
    </row>
    <row r="1552" spans="1:5" x14ac:dyDescent="0.35">
      <c r="A1552" s="1">
        <v>45016</v>
      </c>
      <c r="B1552" s="2">
        <v>45016</v>
      </c>
      <c r="C1552">
        <v>3</v>
      </c>
      <c r="D1552">
        <v>3.75</v>
      </c>
      <c r="E1552" s="4">
        <v>3.5</v>
      </c>
    </row>
    <row r="1553" spans="1:5" x14ac:dyDescent="0.35">
      <c r="A1553" s="1">
        <v>45017</v>
      </c>
      <c r="B1553" s="2">
        <v>45017</v>
      </c>
      <c r="C1553">
        <v>3</v>
      </c>
      <c r="D1553">
        <v>3.75</v>
      </c>
      <c r="E1553" s="4">
        <v>3.5</v>
      </c>
    </row>
    <row r="1554" spans="1:5" x14ac:dyDescent="0.35">
      <c r="A1554" s="1">
        <v>45018</v>
      </c>
      <c r="B1554" s="2">
        <v>45018</v>
      </c>
      <c r="C1554">
        <v>3</v>
      </c>
      <c r="D1554">
        <v>3.75</v>
      </c>
      <c r="E1554" s="4">
        <v>3.5</v>
      </c>
    </row>
    <row r="1555" spans="1:5" x14ac:dyDescent="0.35">
      <c r="A1555" s="1">
        <v>45019</v>
      </c>
      <c r="B1555" s="2">
        <v>45019</v>
      </c>
      <c r="C1555">
        <v>3</v>
      </c>
      <c r="D1555">
        <v>3.75</v>
      </c>
      <c r="E1555" s="4">
        <v>3.5</v>
      </c>
    </row>
    <row r="1556" spans="1:5" x14ac:dyDescent="0.35">
      <c r="A1556" s="1">
        <v>45020</v>
      </c>
      <c r="B1556" s="2">
        <v>45020</v>
      </c>
      <c r="C1556">
        <v>3</v>
      </c>
      <c r="D1556">
        <v>3.75</v>
      </c>
      <c r="E1556" s="4">
        <v>3.5</v>
      </c>
    </row>
    <row r="1557" spans="1:5" x14ac:dyDescent="0.35">
      <c r="A1557" s="1">
        <v>45021</v>
      </c>
      <c r="B1557" s="2">
        <v>45021</v>
      </c>
      <c r="C1557">
        <v>3</v>
      </c>
      <c r="D1557">
        <v>3.75</v>
      </c>
      <c r="E1557" s="4">
        <v>3.5</v>
      </c>
    </row>
    <row r="1558" spans="1:5" x14ac:dyDescent="0.35">
      <c r="A1558" s="1">
        <v>45022</v>
      </c>
      <c r="B1558" s="2">
        <v>45022</v>
      </c>
      <c r="C1558">
        <v>3</v>
      </c>
      <c r="D1558">
        <v>3.75</v>
      </c>
      <c r="E1558" s="4">
        <v>3.5</v>
      </c>
    </row>
    <row r="1559" spans="1:5" x14ac:dyDescent="0.35">
      <c r="A1559" s="1">
        <v>45023</v>
      </c>
      <c r="B1559" s="2">
        <v>45023</v>
      </c>
      <c r="C1559">
        <v>3</v>
      </c>
      <c r="D1559">
        <v>3.75</v>
      </c>
      <c r="E1559" s="4">
        <v>3.5</v>
      </c>
    </row>
    <row r="1560" spans="1:5" x14ac:dyDescent="0.35">
      <c r="A1560" s="1">
        <v>45024</v>
      </c>
      <c r="B1560" s="2">
        <v>45024</v>
      </c>
      <c r="C1560">
        <v>3</v>
      </c>
      <c r="D1560">
        <v>3.75</v>
      </c>
      <c r="E1560" s="4">
        <v>3.5</v>
      </c>
    </row>
    <row r="1561" spans="1:5" x14ac:dyDescent="0.35">
      <c r="A1561" s="1">
        <v>45025</v>
      </c>
      <c r="B1561" s="2">
        <v>45025</v>
      </c>
      <c r="C1561">
        <v>3</v>
      </c>
      <c r="D1561">
        <v>3.75</v>
      </c>
      <c r="E1561" s="4">
        <v>3.5</v>
      </c>
    </row>
    <row r="1562" spans="1:5" x14ac:dyDescent="0.35">
      <c r="A1562" s="1">
        <v>45026</v>
      </c>
      <c r="B1562" s="2">
        <v>45026</v>
      </c>
      <c r="C1562">
        <v>3</v>
      </c>
      <c r="D1562">
        <v>3.75</v>
      </c>
      <c r="E1562" s="4">
        <v>3.5</v>
      </c>
    </row>
    <row r="1563" spans="1:5" x14ac:dyDescent="0.35">
      <c r="A1563" s="1">
        <v>45027</v>
      </c>
      <c r="B1563" s="2">
        <v>45027</v>
      </c>
      <c r="C1563">
        <v>3</v>
      </c>
      <c r="D1563">
        <v>3.75</v>
      </c>
      <c r="E1563" s="4">
        <v>3.5</v>
      </c>
    </row>
    <row r="1564" spans="1:5" x14ac:dyDescent="0.35">
      <c r="A1564" s="1">
        <v>45028</v>
      </c>
      <c r="B1564" s="2">
        <v>45028</v>
      </c>
      <c r="C1564">
        <v>3</v>
      </c>
      <c r="D1564">
        <v>3.75</v>
      </c>
      <c r="E1564" s="4">
        <v>3.5</v>
      </c>
    </row>
    <row r="1565" spans="1:5" x14ac:dyDescent="0.35">
      <c r="A1565" s="1">
        <v>45029</v>
      </c>
      <c r="B1565" s="2">
        <v>45029</v>
      </c>
      <c r="C1565">
        <v>3</v>
      </c>
      <c r="D1565">
        <v>3.75</v>
      </c>
      <c r="E1565" s="4">
        <v>3.5</v>
      </c>
    </row>
    <row r="1566" spans="1:5" x14ac:dyDescent="0.35">
      <c r="A1566" s="1">
        <v>45030</v>
      </c>
      <c r="B1566" s="2">
        <v>45030</v>
      </c>
      <c r="C1566">
        <v>3</v>
      </c>
      <c r="D1566">
        <v>3.75</v>
      </c>
      <c r="E1566" s="4">
        <v>3.5</v>
      </c>
    </row>
    <row r="1567" spans="1:5" x14ac:dyDescent="0.35">
      <c r="A1567" s="1">
        <v>45031</v>
      </c>
      <c r="B1567" s="2">
        <v>45031</v>
      </c>
      <c r="C1567">
        <v>3</v>
      </c>
      <c r="D1567">
        <v>3.75</v>
      </c>
      <c r="E1567" s="4">
        <v>3.5</v>
      </c>
    </row>
    <row r="1568" spans="1:5" x14ac:dyDescent="0.35">
      <c r="A1568" s="1">
        <v>45032</v>
      </c>
      <c r="B1568" s="2">
        <v>45032</v>
      </c>
      <c r="C1568">
        <v>3</v>
      </c>
      <c r="D1568">
        <v>3.75</v>
      </c>
      <c r="E1568" s="4">
        <v>3.5</v>
      </c>
    </row>
    <row r="1569" spans="1:5" x14ac:dyDescent="0.35">
      <c r="A1569" s="1">
        <v>45033</v>
      </c>
      <c r="B1569" s="2">
        <v>45033</v>
      </c>
      <c r="C1569">
        <v>3</v>
      </c>
      <c r="D1569">
        <v>3.75</v>
      </c>
      <c r="E1569" s="4">
        <v>3.5</v>
      </c>
    </row>
    <row r="1570" spans="1:5" x14ac:dyDescent="0.35">
      <c r="A1570" s="1">
        <v>45034</v>
      </c>
      <c r="B1570" s="2">
        <v>45034</v>
      </c>
      <c r="C1570">
        <v>3</v>
      </c>
      <c r="D1570">
        <v>3.75</v>
      </c>
      <c r="E1570" s="4">
        <v>3.5</v>
      </c>
    </row>
    <row r="1571" spans="1:5" x14ac:dyDescent="0.35">
      <c r="A1571" s="1">
        <v>45035</v>
      </c>
      <c r="B1571" s="2">
        <v>45035</v>
      </c>
      <c r="C1571">
        <v>3</v>
      </c>
      <c r="D1571">
        <v>3.75</v>
      </c>
      <c r="E1571" s="4">
        <v>3.5</v>
      </c>
    </row>
    <row r="1572" spans="1:5" x14ac:dyDescent="0.35">
      <c r="A1572" s="1">
        <v>45036</v>
      </c>
      <c r="B1572" s="2">
        <v>45036</v>
      </c>
      <c r="C1572">
        <v>3</v>
      </c>
      <c r="D1572">
        <v>3.75</v>
      </c>
      <c r="E1572" s="4">
        <v>3.5</v>
      </c>
    </row>
    <row r="1573" spans="1:5" x14ac:dyDescent="0.35">
      <c r="A1573" s="1">
        <v>45037</v>
      </c>
      <c r="B1573" s="2">
        <v>45037</v>
      </c>
      <c r="C1573">
        <v>3</v>
      </c>
      <c r="D1573">
        <v>3.75</v>
      </c>
      <c r="E1573" s="4">
        <v>3.5</v>
      </c>
    </row>
    <row r="1574" spans="1:5" x14ac:dyDescent="0.35">
      <c r="A1574" s="1">
        <v>45038</v>
      </c>
      <c r="B1574" s="2">
        <v>45038</v>
      </c>
      <c r="C1574">
        <v>3</v>
      </c>
      <c r="D1574">
        <v>3.75</v>
      </c>
      <c r="E1574" s="4">
        <v>3.5</v>
      </c>
    </row>
    <row r="1575" spans="1:5" x14ac:dyDescent="0.35">
      <c r="A1575" s="1">
        <v>45039</v>
      </c>
      <c r="B1575" s="2">
        <v>45039</v>
      </c>
      <c r="C1575">
        <v>3</v>
      </c>
      <c r="D1575">
        <v>3.75</v>
      </c>
      <c r="E1575" s="4">
        <v>3.5</v>
      </c>
    </row>
    <row r="1576" spans="1:5" x14ac:dyDescent="0.35">
      <c r="A1576" s="1">
        <v>45040</v>
      </c>
      <c r="B1576" s="2">
        <v>45040</v>
      </c>
      <c r="C1576">
        <v>3</v>
      </c>
      <c r="D1576">
        <v>3.75</v>
      </c>
      <c r="E1576" s="4">
        <v>3.5</v>
      </c>
    </row>
    <row r="1577" spans="1:5" x14ac:dyDescent="0.35">
      <c r="A1577" s="1">
        <v>45041</v>
      </c>
      <c r="B1577" s="2">
        <v>45041</v>
      </c>
      <c r="C1577">
        <v>3</v>
      </c>
      <c r="D1577">
        <v>3.75</v>
      </c>
      <c r="E1577" s="4">
        <v>3.5</v>
      </c>
    </row>
    <row r="1578" spans="1:5" x14ac:dyDescent="0.35">
      <c r="A1578" s="1">
        <v>45042</v>
      </c>
      <c r="B1578" s="2">
        <v>45042</v>
      </c>
      <c r="C1578">
        <v>3</v>
      </c>
      <c r="D1578">
        <v>3.75</v>
      </c>
      <c r="E1578" s="4">
        <v>3.5</v>
      </c>
    </row>
    <row r="1579" spans="1:5" x14ac:dyDescent="0.35">
      <c r="A1579" s="1">
        <v>45043</v>
      </c>
      <c r="B1579" s="2">
        <v>45043</v>
      </c>
      <c r="C1579">
        <v>3</v>
      </c>
      <c r="D1579">
        <v>3.75</v>
      </c>
      <c r="E1579" s="4">
        <v>3.5</v>
      </c>
    </row>
    <row r="1580" spans="1:5" x14ac:dyDescent="0.35">
      <c r="A1580" s="1">
        <v>45044</v>
      </c>
      <c r="B1580" s="2">
        <v>45044</v>
      </c>
      <c r="C1580">
        <v>3</v>
      </c>
      <c r="D1580">
        <v>3.75</v>
      </c>
      <c r="E1580" s="4">
        <v>3.5</v>
      </c>
    </row>
    <row r="1581" spans="1:5" x14ac:dyDescent="0.35">
      <c r="A1581" s="1">
        <v>45045</v>
      </c>
      <c r="B1581" s="2">
        <v>45045</v>
      </c>
      <c r="C1581">
        <v>3</v>
      </c>
      <c r="D1581">
        <v>3.75</v>
      </c>
      <c r="E1581" s="4">
        <v>3.5</v>
      </c>
    </row>
    <row r="1582" spans="1:5" x14ac:dyDescent="0.35">
      <c r="A1582" s="1">
        <v>45046</v>
      </c>
      <c r="B1582" s="2">
        <v>45046</v>
      </c>
      <c r="C1582">
        <v>3</v>
      </c>
      <c r="D1582">
        <v>3.75</v>
      </c>
      <c r="E1582" s="4">
        <v>3.5</v>
      </c>
    </row>
    <row r="1583" spans="1:5" x14ac:dyDescent="0.35">
      <c r="A1583" s="1">
        <v>45047</v>
      </c>
      <c r="B1583" s="2">
        <v>45047</v>
      </c>
      <c r="C1583">
        <v>3</v>
      </c>
      <c r="D1583">
        <v>3.75</v>
      </c>
      <c r="E1583" s="4">
        <v>3.5</v>
      </c>
    </row>
    <row r="1584" spans="1:5" x14ac:dyDescent="0.35">
      <c r="A1584" s="1">
        <v>45048</v>
      </c>
      <c r="B1584" s="2">
        <v>45048</v>
      </c>
      <c r="C1584">
        <v>3</v>
      </c>
      <c r="D1584">
        <v>3.75</v>
      </c>
      <c r="E1584" s="4">
        <v>3.5</v>
      </c>
    </row>
    <row r="1585" spans="1:5" x14ac:dyDescent="0.35">
      <c r="A1585" s="1">
        <v>45049</v>
      </c>
      <c r="B1585" s="2">
        <v>45049</v>
      </c>
      <c r="C1585">
        <v>3</v>
      </c>
      <c r="D1585">
        <v>3.75</v>
      </c>
      <c r="E1585" s="4">
        <v>3.5</v>
      </c>
    </row>
    <row r="1586" spans="1:5" x14ac:dyDescent="0.35">
      <c r="A1586" s="1">
        <v>45050</v>
      </c>
      <c r="B1586" s="2">
        <v>45050</v>
      </c>
      <c r="C1586">
        <v>3</v>
      </c>
      <c r="D1586">
        <v>3.75</v>
      </c>
      <c r="E1586" s="4">
        <v>3.5</v>
      </c>
    </row>
    <row r="1587" spans="1:5" x14ac:dyDescent="0.35">
      <c r="A1587" s="1">
        <v>45051</v>
      </c>
      <c r="B1587" s="2">
        <v>45051</v>
      </c>
      <c r="C1587">
        <v>3</v>
      </c>
      <c r="D1587">
        <v>3.75</v>
      </c>
      <c r="E1587" s="4">
        <v>3.5</v>
      </c>
    </row>
    <row r="1588" spans="1:5" x14ac:dyDescent="0.35">
      <c r="A1588" s="1">
        <v>45052</v>
      </c>
      <c r="B1588" s="2">
        <v>45052</v>
      </c>
      <c r="C1588">
        <v>3</v>
      </c>
      <c r="D1588">
        <v>3.75</v>
      </c>
      <c r="E1588" s="4">
        <v>3.5</v>
      </c>
    </row>
    <row r="1589" spans="1:5" x14ac:dyDescent="0.35">
      <c r="A1589" s="1">
        <v>45053</v>
      </c>
      <c r="B1589" s="2">
        <v>45053</v>
      </c>
      <c r="C1589">
        <v>3</v>
      </c>
      <c r="D1589">
        <v>3.75</v>
      </c>
      <c r="E1589" s="4">
        <v>3.5</v>
      </c>
    </row>
    <row r="1590" spans="1:5" x14ac:dyDescent="0.35">
      <c r="A1590" s="1">
        <v>45054</v>
      </c>
      <c r="B1590" s="2">
        <v>45054</v>
      </c>
      <c r="C1590">
        <v>3</v>
      </c>
      <c r="D1590">
        <v>3.75</v>
      </c>
      <c r="E1590" s="4">
        <v>3.5</v>
      </c>
    </row>
    <row r="1591" spans="1:5" x14ac:dyDescent="0.35">
      <c r="A1591" s="1">
        <v>45055</v>
      </c>
      <c r="B1591" s="2">
        <v>45055</v>
      </c>
      <c r="C1591">
        <v>3</v>
      </c>
      <c r="D1591">
        <v>3.75</v>
      </c>
      <c r="E1591" s="4">
        <v>3.5</v>
      </c>
    </row>
    <row r="1592" spans="1:5" x14ac:dyDescent="0.35">
      <c r="A1592" s="1">
        <v>45056</v>
      </c>
      <c r="B1592" s="2">
        <v>45056</v>
      </c>
      <c r="C1592">
        <v>3.25</v>
      </c>
      <c r="D1592">
        <v>4</v>
      </c>
      <c r="E1592" s="4">
        <v>3.75</v>
      </c>
    </row>
    <row r="1593" spans="1:5" x14ac:dyDescent="0.35">
      <c r="A1593" s="1">
        <v>45057</v>
      </c>
      <c r="B1593" s="2">
        <v>45057</v>
      </c>
      <c r="C1593">
        <v>3.25</v>
      </c>
      <c r="D1593">
        <v>4</v>
      </c>
      <c r="E1593" s="4">
        <v>3.75</v>
      </c>
    </row>
    <row r="1594" spans="1:5" x14ac:dyDescent="0.35">
      <c r="A1594" s="1">
        <v>45058</v>
      </c>
      <c r="B1594" s="2">
        <v>45058</v>
      </c>
      <c r="C1594">
        <v>3.25</v>
      </c>
      <c r="D1594">
        <v>4</v>
      </c>
      <c r="E1594" s="4">
        <v>3.75</v>
      </c>
    </row>
    <row r="1595" spans="1:5" x14ac:dyDescent="0.35">
      <c r="A1595" s="1">
        <v>45059</v>
      </c>
      <c r="B1595" s="2">
        <v>45059</v>
      </c>
      <c r="C1595">
        <v>3.25</v>
      </c>
      <c r="D1595">
        <v>4</v>
      </c>
      <c r="E1595" s="4">
        <v>3.75</v>
      </c>
    </row>
    <row r="1596" spans="1:5" x14ac:dyDescent="0.35">
      <c r="A1596" s="1">
        <v>45060</v>
      </c>
      <c r="B1596" s="2">
        <v>45060</v>
      </c>
      <c r="C1596">
        <v>3.25</v>
      </c>
      <c r="D1596">
        <v>4</v>
      </c>
      <c r="E1596" s="4">
        <v>3.75</v>
      </c>
    </row>
    <row r="1597" spans="1:5" x14ac:dyDescent="0.35">
      <c r="A1597" s="1">
        <v>45061</v>
      </c>
      <c r="B1597" s="2">
        <v>45061</v>
      </c>
      <c r="C1597">
        <v>3.25</v>
      </c>
      <c r="D1597">
        <v>4</v>
      </c>
      <c r="E1597" s="4">
        <v>3.75</v>
      </c>
    </row>
    <row r="1598" spans="1:5" x14ac:dyDescent="0.35">
      <c r="A1598" s="1">
        <v>45062</v>
      </c>
      <c r="B1598" s="2">
        <v>45062</v>
      </c>
      <c r="C1598">
        <v>3.25</v>
      </c>
      <c r="D1598">
        <v>4</v>
      </c>
      <c r="E1598" s="4">
        <v>3.75</v>
      </c>
    </row>
    <row r="1599" spans="1:5" x14ac:dyDescent="0.35">
      <c r="A1599" s="1">
        <v>45063</v>
      </c>
      <c r="B1599" s="2">
        <v>45063</v>
      </c>
      <c r="C1599">
        <v>3.25</v>
      </c>
      <c r="D1599">
        <v>4</v>
      </c>
      <c r="E1599" s="4">
        <v>3.75</v>
      </c>
    </row>
    <row r="1600" spans="1:5" x14ac:dyDescent="0.35">
      <c r="A1600" s="1">
        <v>45064</v>
      </c>
      <c r="B1600" s="2">
        <v>45064</v>
      </c>
      <c r="C1600">
        <v>3.25</v>
      </c>
      <c r="D1600">
        <v>4</v>
      </c>
      <c r="E1600" s="4">
        <v>3.75</v>
      </c>
    </row>
    <row r="1601" spans="1:5" x14ac:dyDescent="0.35">
      <c r="A1601" s="1">
        <v>45065</v>
      </c>
      <c r="B1601" s="2">
        <v>45065</v>
      </c>
      <c r="C1601">
        <v>3.25</v>
      </c>
      <c r="D1601">
        <v>4</v>
      </c>
      <c r="E1601" s="4">
        <v>3.75</v>
      </c>
    </row>
    <row r="1602" spans="1:5" x14ac:dyDescent="0.35">
      <c r="A1602" s="1">
        <v>45066</v>
      </c>
      <c r="B1602" s="2">
        <v>45066</v>
      </c>
      <c r="C1602">
        <v>3.25</v>
      </c>
      <c r="D1602">
        <v>4</v>
      </c>
      <c r="E1602" s="4">
        <v>3.75</v>
      </c>
    </row>
    <row r="1603" spans="1:5" x14ac:dyDescent="0.35">
      <c r="A1603" s="1">
        <v>45067</v>
      </c>
      <c r="B1603" s="2">
        <v>45067</v>
      </c>
      <c r="C1603">
        <v>3.25</v>
      </c>
      <c r="D1603">
        <v>4</v>
      </c>
      <c r="E1603" s="4">
        <v>3.75</v>
      </c>
    </row>
    <row r="1604" spans="1:5" x14ac:dyDescent="0.35">
      <c r="A1604" s="1">
        <v>45068</v>
      </c>
      <c r="B1604" s="2">
        <v>45068</v>
      </c>
      <c r="C1604">
        <v>3.25</v>
      </c>
      <c r="D1604">
        <v>4</v>
      </c>
      <c r="E1604" s="4">
        <v>3.75</v>
      </c>
    </row>
    <row r="1605" spans="1:5" x14ac:dyDescent="0.35">
      <c r="A1605" s="1">
        <v>45069</v>
      </c>
      <c r="B1605" s="2">
        <v>45069</v>
      </c>
      <c r="C1605">
        <v>3.25</v>
      </c>
      <c r="D1605">
        <v>4</v>
      </c>
      <c r="E1605" s="4">
        <v>3.75</v>
      </c>
    </row>
    <row r="1606" spans="1:5" x14ac:dyDescent="0.35">
      <c r="A1606" s="1">
        <v>45070</v>
      </c>
      <c r="B1606" s="2">
        <v>45070</v>
      </c>
      <c r="C1606">
        <v>3.25</v>
      </c>
      <c r="D1606">
        <v>4</v>
      </c>
      <c r="E1606" s="4">
        <v>3.75</v>
      </c>
    </row>
    <row r="1607" spans="1:5" x14ac:dyDescent="0.35">
      <c r="A1607" s="1">
        <v>45071</v>
      </c>
      <c r="B1607" s="2">
        <v>45071</v>
      </c>
      <c r="C1607">
        <v>3.25</v>
      </c>
      <c r="D1607">
        <v>4</v>
      </c>
      <c r="E1607" s="4">
        <v>3.75</v>
      </c>
    </row>
    <row r="1608" spans="1:5" x14ac:dyDescent="0.35">
      <c r="A1608" s="1">
        <v>45072</v>
      </c>
      <c r="B1608" s="2">
        <v>45072</v>
      </c>
      <c r="C1608">
        <v>3.25</v>
      </c>
      <c r="D1608">
        <v>4</v>
      </c>
      <c r="E1608" s="4">
        <v>3.75</v>
      </c>
    </row>
    <row r="1609" spans="1:5" x14ac:dyDescent="0.35">
      <c r="A1609" s="1">
        <v>45073</v>
      </c>
      <c r="B1609" s="2">
        <v>45073</v>
      </c>
      <c r="C1609">
        <v>3.25</v>
      </c>
      <c r="D1609">
        <v>4</v>
      </c>
      <c r="E1609" s="4">
        <v>3.75</v>
      </c>
    </row>
    <row r="1610" spans="1:5" x14ac:dyDescent="0.35">
      <c r="A1610" s="1">
        <v>45074</v>
      </c>
      <c r="B1610" s="2">
        <v>45074</v>
      </c>
      <c r="C1610">
        <v>3.25</v>
      </c>
      <c r="D1610">
        <v>4</v>
      </c>
      <c r="E1610" s="4">
        <v>3.75</v>
      </c>
    </row>
    <row r="1611" spans="1:5" x14ac:dyDescent="0.35">
      <c r="A1611" s="1">
        <v>45075</v>
      </c>
      <c r="B1611" s="2">
        <v>45075</v>
      </c>
      <c r="C1611">
        <v>3.25</v>
      </c>
      <c r="D1611">
        <v>4</v>
      </c>
      <c r="E1611" s="4">
        <v>3.75</v>
      </c>
    </row>
    <row r="1612" spans="1:5" x14ac:dyDescent="0.35">
      <c r="A1612" s="1">
        <v>45076</v>
      </c>
      <c r="B1612" s="2">
        <v>45076</v>
      </c>
      <c r="C1612">
        <v>3.25</v>
      </c>
      <c r="D1612">
        <v>4</v>
      </c>
      <c r="E1612" s="4">
        <v>3.75</v>
      </c>
    </row>
    <row r="1613" spans="1:5" x14ac:dyDescent="0.35">
      <c r="A1613" s="1">
        <v>45077</v>
      </c>
      <c r="B1613" s="2">
        <v>45077</v>
      </c>
      <c r="C1613">
        <v>3.25</v>
      </c>
      <c r="D1613">
        <v>4</v>
      </c>
      <c r="E1613" s="4">
        <v>3.75</v>
      </c>
    </row>
    <row r="1614" spans="1:5" x14ac:dyDescent="0.35">
      <c r="A1614" s="1">
        <v>45078</v>
      </c>
      <c r="B1614" s="2">
        <v>45078</v>
      </c>
      <c r="C1614">
        <v>3.25</v>
      </c>
      <c r="D1614">
        <v>4</v>
      </c>
      <c r="E1614" s="4">
        <v>3.75</v>
      </c>
    </row>
    <row r="1615" spans="1:5" x14ac:dyDescent="0.35">
      <c r="A1615" s="1">
        <v>45079</v>
      </c>
      <c r="B1615" s="2">
        <v>45079</v>
      </c>
      <c r="C1615">
        <v>3.25</v>
      </c>
      <c r="D1615">
        <v>4</v>
      </c>
      <c r="E1615" s="4">
        <v>3.75</v>
      </c>
    </row>
    <row r="1616" spans="1:5" x14ac:dyDescent="0.35">
      <c r="A1616" s="1">
        <v>45080</v>
      </c>
      <c r="B1616" s="2">
        <v>45080</v>
      </c>
      <c r="C1616">
        <v>3.25</v>
      </c>
      <c r="D1616">
        <v>4</v>
      </c>
      <c r="E1616" s="4">
        <v>3.75</v>
      </c>
    </row>
    <row r="1617" spans="1:5" x14ac:dyDescent="0.35">
      <c r="A1617" s="1">
        <v>45081</v>
      </c>
      <c r="B1617" s="2">
        <v>45081</v>
      </c>
      <c r="C1617">
        <v>3.25</v>
      </c>
      <c r="D1617">
        <v>4</v>
      </c>
      <c r="E1617" s="4">
        <v>3.75</v>
      </c>
    </row>
    <row r="1618" spans="1:5" x14ac:dyDescent="0.35">
      <c r="A1618" s="1">
        <v>45082</v>
      </c>
      <c r="B1618" s="2">
        <v>45082</v>
      </c>
      <c r="C1618">
        <v>3.25</v>
      </c>
      <c r="D1618">
        <v>4</v>
      </c>
      <c r="E1618" s="4">
        <v>3.75</v>
      </c>
    </row>
    <row r="1619" spans="1:5" x14ac:dyDescent="0.35">
      <c r="A1619" s="1">
        <v>45083</v>
      </c>
      <c r="B1619" s="2">
        <v>45083</v>
      </c>
      <c r="C1619">
        <v>3.25</v>
      </c>
      <c r="D1619">
        <v>4</v>
      </c>
      <c r="E1619" s="4">
        <v>3.75</v>
      </c>
    </row>
    <row r="1620" spans="1:5" x14ac:dyDescent="0.35">
      <c r="A1620" s="1">
        <v>45084</v>
      </c>
      <c r="B1620" s="2">
        <v>45084</v>
      </c>
      <c r="C1620">
        <v>3.25</v>
      </c>
      <c r="D1620">
        <v>4</v>
      </c>
      <c r="E1620" s="4">
        <v>3.75</v>
      </c>
    </row>
    <row r="1621" spans="1:5" x14ac:dyDescent="0.35">
      <c r="A1621" s="1">
        <v>45085</v>
      </c>
      <c r="B1621" s="2">
        <v>45085</v>
      </c>
      <c r="C1621">
        <v>3.25</v>
      </c>
      <c r="D1621">
        <v>4</v>
      </c>
      <c r="E1621" s="4">
        <v>3.75</v>
      </c>
    </row>
    <row r="1622" spans="1:5" x14ac:dyDescent="0.35">
      <c r="A1622" s="1">
        <v>45086</v>
      </c>
      <c r="B1622" s="2">
        <v>45086</v>
      </c>
      <c r="C1622">
        <v>3.25</v>
      </c>
      <c r="D1622">
        <v>4</v>
      </c>
      <c r="E1622" s="4">
        <v>3.75</v>
      </c>
    </row>
    <row r="1623" spans="1:5" x14ac:dyDescent="0.35">
      <c r="A1623" s="1">
        <v>45087</v>
      </c>
      <c r="B1623" s="2">
        <v>45087</v>
      </c>
      <c r="C1623">
        <v>3.25</v>
      </c>
      <c r="D1623">
        <v>4</v>
      </c>
      <c r="E1623" s="4">
        <v>3.75</v>
      </c>
    </row>
    <row r="1624" spans="1:5" x14ac:dyDescent="0.35">
      <c r="A1624" s="1">
        <v>45088</v>
      </c>
      <c r="B1624" s="2">
        <v>45088</v>
      </c>
      <c r="C1624">
        <v>3.25</v>
      </c>
      <c r="D1624">
        <v>4</v>
      </c>
      <c r="E1624" s="4">
        <v>3.75</v>
      </c>
    </row>
    <row r="1625" spans="1:5" x14ac:dyDescent="0.35">
      <c r="A1625" s="1">
        <v>45089</v>
      </c>
      <c r="B1625" s="2">
        <v>45089</v>
      </c>
      <c r="C1625">
        <v>3.25</v>
      </c>
      <c r="D1625">
        <v>4</v>
      </c>
      <c r="E1625" s="4">
        <v>3.75</v>
      </c>
    </row>
    <row r="1626" spans="1:5" x14ac:dyDescent="0.35">
      <c r="A1626" s="1">
        <v>45090</v>
      </c>
      <c r="B1626" s="2">
        <v>45090</v>
      </c>
      <c r="C1626">
        <v>3.25</v>
      </c>
      <c r="D1626">
        <v>4</v>
      </c>
      <c r="E1626" s="4">
        <v>3.75</v>
      </c>
    </row>
    <row r="1627" spans="1:5" x14ac:dyDescent="0.35">
      <c r="A1627" s="1">
        <v>45091</v>
      </c>
      <c r="B1627" s="2">
        <v>45091</v>
      </c>
      <c r="C1627">
        <v>3.25</v>
      </c>
      <c r="D1627">
        <v>4</v>
      </c>
      <c r="E1627" s="4">
        <v>3.75</v>
      </c>
    </row>
    <row r="1628" spans="1:5" x14ac:dyDescent="0.35">
      <c r="A1628" s="1">
        <v>45092</v>
      </c>
      <c r="B1628" s="2">
        <v>45092</v>
      </c>
      <c r="C1628">
        <v>3.25</v>
      </c>
      <c r="D1628">
        <v>4</v>
      </c>
      <c r="E1628" s="4">
        <v>3.75</v>
      </c>
    </row>
    <row r="1629" spans="1:5" x14ac:dyDescent="0.35">
      <c r="A1629" s="1">
        <v>45093</v>
      </c>
      <c r="B1629" s="2">
        <v>45093</v>
      </c>
      <c r="C1629">
        <v>3.25</v>
      </c>
      <c r="D1629">
        <v>4</v>
      </c>
      <c r="E1629" s="4">
        <v>3.75</v>
      </c>
    </row>
    <row r="1630" spans="1:5" x14ac:dyDescent="0.35">
      <c r="A1630" s="1">
        <v>45094</v>
      </c>
      <c r="B1630" s="2">
        <v>45094</v>
      </c>
      <c r="C1630">
        <v>3.25</v>
      </c>
      <c r="D1630">
        <v>4</v>
      </c>
      <c r="E1630" s="4">
        <v>3.75</v>
      </c>
    </row>
    <row r="1631" spans="1:5" x14ac:dyDescent="0.35">
      <c r="A1631" s="1">
        <v>45095</v>
      </c>
      <c r="B1631" s="2">
        <v>45095</v>
      </c>
      <c r="C1631">
        <v>3.25</v>
      </c>
      <c r="D1631">
        <v>4</v>
      </c>
      <c r="E1631" s="4">
        <v>3.75</v>
      </c>
    </row>
    <row r="1632" spans="1:5" x14ac:dyDescent="0.35">
      <c r="A1632" s="1">
        <v>45096</v>
      </c>
      <c r="B1632" s="2">
        <v>45096</v>
      </c>
      <c r="C1632">
        <v>3.25</v>
      </c>
      <c r="D1632">
        <v>4</v>
      </c>
      <c r="E1632" s="4">
        <v>3.75</v>
      </c>
    </row>
    <row r="1633" spans="1:5" x14ac:dyDescent="0.35">
      <c r="A1633" s="1">
        <v>45097</v>
      </c>
      <c r="B1633" s="2">
        <v>45097</v>
      </c>
      <c r="C1633">
        <v>3.25</v>
      </c>
      <c r="D1633">
        <v>4</v>
      </c>
      <c r="E1633" s="4">
        <v>3.75</v>
      </c>
    </row>
    <row r="1634" spans="1:5" x14ac:dyDescent="0.35">
      <c r="A1634" s="1">
        <v>45098</v>
      </c>
      <c r="B1634" s="2">
        <v>45098</v>
      </c>
      <c r="C1634">
        <v>3.5</v>
      </c>
      <c r="D1634">
        <v>4.25</v>
      </c>
      <c r="E1634" s="4">
        <v>4</v>
      </c>
    </row>
    <row r="1635" spans="1:5" x14ac:dyDescent="0.35">
      <c r="A1635" s="1">
        <v>45099</v>
      </c>
      <c r="B1635" s="2">
        <v>45099</v>
      </c>
      <c r="C1635">
        <v>3.5</v>
      </c>
      <c r="D1635">
        <v>4.25</v>
      </c>
      <c r="E1635" s="4">
        <v>4</v>
      </c>
    </row>
    <row r="1636" spans="1:5" x14ac:dyDescent="0.35">
      <c r="A1636" s="1">
        <v>45100</v>
      </c>
      <c r="B1636" s="2">
        <v>45100</v>
      </c>
      <c r="C1636">
        <v>3.5</v>
      </c>
      <c r="D1636">
        <v>4.25</v>
      </c>
      <c r="E1636" s="4">
        <v>4</v>
      </c>
    </row>
    <row r="1637" spans="1:5" x14ac:dyDescent="0.35">
      <c r="A1637" s="1">
        <v>45101</v>
      </c>
      <c r="B1637" s="2">
        <v>45101</v>
      </c>
      <c r="C1637">
        <v>3.5</v>
      </c>
      <c r="D1637">
        <v>4.25</v>
      </c>
      <c r="E1637" s="4">
        <v>4</v>
      </c>
    </row>
    <row r="1638" spans="1:5" x14ac:dyDescent="0.35">
      <c r="A1638" s="1">
        <v>45102</v>
      </c>
      <c r="B1638" s="2">
        <v>45102</v>
      </c>
      <c r="C1638">
        <v>3.5</v>
      </c>
      <c r="D1638">
        <v>4.25</v>
      </c>
      <c r="E1638" s="4">
        <v>4</v>
      </c>
    </row>
    <row r="1639" spans="1:5" x14ac:dyDescent="0.35">
      <c r="A1639" s="1">
        <v>45103</v>
      </c>
      <c r="B1639" s="2">
        <v>45103</v>
      </c>
      <c r="C1639">
        <v>3.5</v>
      </c>
      <c r="D1639">
        <v>4.25</v>
      </c>
      <c r="E1639" s="4">
        <v>4</v>
      </c>
    </row>
    <row r="1640" spans="1:5" x14ac:dyDescent="0.35">
      <c r="A1640" s="1">
        <v>45104</v>
      </c>
      <c r="B1640" s="2">
        <v>45104</v>
      </c>
      <c r="C1640">
        <v>3.5</v>
      </c>
      <c r="D1640">
        <v>4.25</v>
      </c>
      <c r="E1640" s="4">
        <v>4</v>
      </c>
    </row>
    <row r="1641" spans="1:5" x14ac:dyDescent="0.35">
      <c r="A1641" s="1">
        <v>45105</v>
      </c>
      <c r="B1641" s="2">
        <v>45105</v>
      </c>
      <c r="C1641">
        <v>3.5</v>
      </c>
      <c r="D1641">
        <v>4.25</v>
      </c>
      <c r="E1641" s="4">
        <v>4</v>
      </c>
    </row>
    <row r="1642" spans="1:5" x14ac:dyDescent="0.35">
      <c r="A1642" s="1">
        <v>45106</v>
      </c>
      <c r="B1642" s="2">
        <v>45106</v>
      </c>
      <c r="C1642">
        <v>3.5</v>
      </c>
      <c r="D1642">
        <v>4.25</v>
      </c>
      <c r="E1642" s="4">
        <v>4</v>
      </c>
    </row>
    <row r="1643" spans="1:5" x14ac:dyDescent="0.35">
      <c r="A1643" s="1">
        <v>45107</v>
      </c>
      <c r="B1643" s="2">
        <v>45107</v>
      </c>
      <c r="C1643">
        <v>3.5</v>
      </c>
      <c r="D1643">
        <v>4.25</v>
      </c>
      <c r="E1643" s="4">
        <v>4</v>
      </c>
    </row>
    <row r="1644" spans="1:5" x14ac:dyDescent="0.35">
      <c r="A1644" s="1">
        <v>45108</v>
      </c>
      <c r="B1644" s="2">
        <v>45108</v>
      </c>
      <c r="C1644">
        <v>3.5</v>
      </c>
      <c r="D1644">
        <v>4.25</v>
      </c>
      <c r="E1644" s="4">
        <v>4</v>
      </c>
    </row>
    <row r="1645" spans="1:5" x14ac:dyDescent="0.35">
      <c r="A1645" s="1">
        <v>45109</v>
      </c>
      <c r="B1645" s="2">
        <v>45109</v>
      </c>
      <c r="C1645">
        <v>3.5</v>
      </c>
      <c r="D1645">
        <v>4.25</v>
      </c>
      <c r="E1645" s="4">
        <v>4</v>
      </c>
    </row>
    <row r="1646" spans="1:5" x14ac:dyDescent="0.35">
      <c r="A1646" s="1">
        <v>45110</v>
      </c>
      <c r="B1646" s="2">
        <v>45110</v>
      </c>
      <c r="C1646">
        <v>3.5</v>
      </c>
      <c r="D1646">
        <v>4.25</v>
      </c>
      <c r="E1646" s="4">
        <v>4</v>
      </c>
    </row>
    <row r="1647" spans="1:5" x14ac:dyDescent="0.35">
      <c r="A1647" s="1">
        <v>45111</v>
      </c>
      <c r="B1647" s="2">
        <v>45111</v>
      </c>
      <c r="C1647">
        <v>3.5</v>
      </c>
      <c r="D1647">
        <v>4.25</v>
      </c>
      <c r="E1647" s="4">
        <v>4</v>
      </c>
    </row>
    <row r="1648" spans="1:5" x14ac:dyDescent="0.35">
      <c r="A1648" s="1">
        <v>45112</v>
      </c>
      <c r="B1648" s="2">
        <v>45112</v>
      </c>
      <c r="C1648">
        <v>3.5</v>
      </c>
      <c r="D1648">
        <v>4.25</v>
      </c>
      <c r="E1648" s="4">
        <v>4</v>
      </c>
    </row>
    <row r="1649" spans="1:5" x14ac:dyDescent="0.35">
      <c r="A1649" s="1">
        <v>45113</v>
      </c>
      <c r="B1649" s="2">
        <v>45113</v>
      </c>
      <c r="C1649">
        <v>3.5</v>
      </c>
      <c r="D1649">
        <v>4.25</v>
      </c>
      <c r="E1649" s="4">
        <v>4</v>
      </c>
    </row>
    <row r="1650" spans="1:5" x14ac:dyDescent="0.35">
      <c r="A1650" s="1">
        <v>45114</v>
      </c>
      <c r="B1650" s="2">
        <v>45114</v>
      </c>
      <c r="C1650">
        <v>3.5</v>
      </c>
      <c r="D1650">
        <v>4.25</v>
      </c>
      <c r="E1650" s="4">
        <v>4</v>
      </c>
    </row>
    <row r="1651" spans="1:5" x14ac:dyDescent="0.35">
      <c r="A1651" s="1">
        <v>45115</v>
      </c>
      <c r="B1651" s="2">
        <v>45115</v>
      </c>
      <c r="C1651">
        <v>3.5</v>
      </c>
      <c r="D1651">
        <v>4.25</v>
      </c>
      <c r="E1651" s="4">
        <v>4</v>
      </c>
    </row>
    <row r="1652" spans="1:5" x14ac:dyDescent="0.35">
      <c r="A1652" s="1">
        <v>45116</v>
      </c>
      <c r="B1652" s="2">
        <v>45116</v>
      </c>
      <c r="C1652">
        <v>3.5</v>
      </c>
      <c r="D1652">
        <v>4.25</v>
      </c>
      <c r="E1652" s="4">
        <v>4</v>
      </c>
    </row>
    <row r="1653" spans="1:5" x14ac:dyDescent="0.35">
      <c r="A1653" s="1">
        <v>45117</v>
      </c>
      <c r="B1653" s="2">
        <v>45117</v>
      </c>
      <c r="C1653">
        <v>3.5</v>
      </c>
      <c r="D1653">
        <v>4.25</v>
      </c>
      <c r="E1653" s="4">
        <v>4</v>
      </c>
    </row>
    <row r="1654" spans="1:5" x14ac:dyDescent="0.35">
      <c r="A1654" s="1">
        <v>45118</v>
      </c>
      <c r="B1654" s="2">
        <v>45118</v>
      </c>
      <c r="C1654">
        <v>3.5</v>
      </c>
      <c r="D1654">
        <v>4.25</v>
      </c>
      <c r="E1654" s="4">
        <v>4</v>
      </c>
    </row>
    <row r="1655" spans="1:5" x14ac:dyDescent="0.35">
      <c r="A1655" s="1">
        <v>45119</v>
      </c>
      <c r="B1655" s="2">
        <v>45119</v>
      </c>
      <c r="C1655">
        <v>3.5</v>
      </c>
      <c r="D1655">
        <v>4.25</v>
      </c>
      <c r="E1655" s="4">
        <v>4</v>
      </c>
    </row>
    <row r="1656" spans="1:5" x14ac:dyDescent="0.35">
      <c r="A1656" s="1">
        <v>45120</v>
      </c>
      <c r="B1656" s="2">
        <v>45120</v>
      </c>
      <c r="C1656">
        <v>3.5</v>
      </c>
      <c r="D1656">
        <v>4.25</v>
      </c>
      <c r="E1656" s="4">
        <v>4</v>
      </c>
    </row>
    <row r="1657" spans="1:5" x14ac:dyDescent="0.35">
      <c r="A1657" s="1">
        <v>45121</v>
      </c>
      <c r="B1657" s="2">
        <v>45121</v>
      </c>
      <c r="C1657">
        <v>3.5</v>
      </c>
      <c r="D1657">
        <v>4.25</v>
      </c>
      <c r="E1657" s="4">
        <v>4</v>
      </c>
    </row>
    <row r="1658" spans="1:5" x14ac:dyDescent="0.35">
      <c r="A1658" s="1">
        <v>45122</v>
      </c>
      <c r="B1658" s="2">
        <v>45122</v>
      </c>
      <c r="C1658">
        <v>3.5</v>
      </c>
      <c r="D1658">
        <v>4.25</v>
      </c>
      <c r="E1658" s="4">
        <v>4</v>
      </c>
    </row>
    <row r="1659" spans="1:5" x14ac:dyDescent="0.35">
      <c r="A1659" s="1">
        <v>45123</v>
      </c>
      <c r="B1659" s="2">
        <v>45123</v>
      </c>
      <c r="C1659">
        <v>3.5</v>
      </c>
      <c r="D1659">
        <v>4.25</v>
      </c>
      <c r="E1659" s="4">
        <v>4</v>
      </c>
    </row>
    <row r="1660" spans="1:5" x14ac:dyDescent="0.35">
      <c r="A1660" s="1">
        <v>45124</v>
      </c>
      <c r="B1660" s="2">
        <v>45124</v>
      </c>
      <c r="C1660">
        <v>3.5</v>
      </c>
      <c r="D1660">
        <v>4.25</v>
      </c>
      <c r="E1660" s="4">
        <v>4</v>
      </c>
    </row>
    <row r="1661" spans="1:5" x14ac:dyDescent="0.35">
      <c r="A1661" s="1">
        <v>45125</v>
      </c>
      <c r="B1661" s="2">
        <v>45125</v>
      </c>
      <c r="C1661">
        <v>3.5</v>
      </c>
      <c r="D1661">
        <v>4.25</v>
      </c>
      <c r="E1661" s="4">
        <v>4</v>
      </c>
    </row>
    <row r="1662" spans="1:5" x14ac:dyDescent="0.35">
      <c r="A1662" s="1">
        <v>45126</v>
      </c>
      <c r="B1662" s="2">
        <v>45126</v>
      </c>
      <c r="C1662">
        <v>3.5</v>
      </c>
      <c r="D1662">
        <v>4.25</v>
      </c>
      <c r="E1662" s="4">
        <v>4</v>
      </c>
    </row>
    <row r="1663" spans="1:5" x14ac:dyDescent="0.35">
      <c r="A1663" s="1">
        <v>45127</v>
      </c>
      <c r="B1663" s="2">
        <v>45127</v>
      </c>
      <c r="C1663">
        <v>3.5</v>
      </c>
      <c r="D1663">
        <v>4.25</v>
      </c>
      <c r="E1663" s="4">
        <v>4</v>
      </c>
    </row>
    <row r="1664" spans="1:5" x14ac:dyDescent="0.35">
      <c r="A1664" s="1">
        <v>45128</v>
      </c>
      <c r="B1664" s="2">
        <v>45128</v>
      </c>
      <c r="C1664">
        <v>3.5</v>
      </c>
      <c r="D1664">
        <v>4.25</v>
      </c>
      <c r="E1664" s="4">
        <v>4</v>
      </c>
    </row>
    <row r="1665" spans="1:5" x14ac:dyDescent="0.35">
      <c r="A1665" s="1">
        <v>45129</v>
      </c>
      <c r="B1665" s="2">
        <v>45129</v>
      </c>
      <c r="C1665">
        <v>3.5</v>
      </c>
      <c r="D1665">
        <v>4.25</v>
      </c>
      <c r="E1665" s="4">
        <v>4</v>
      </c>
    </row>
    <row r="1666" spans="1:5" x14ac:dyDescent="0.35">
      <c r="A1666" s="1">
        <v>45130</v>
      </c>
      <c r="B1666" s="2">
        <v>45130</v>
      </c>
      <c r="C1666">
        <v>3.5</v>
      </c>
      <c r="D1666">
        <v>4.25</v>
      </c>
      <c r="E1666" s="4">
        <v>4</v>
      </c>
    </row>
    <row r="1667" spans="1:5" x14ac:dyDescent="0.35">
      <c r="A1667" s="1">
        <v>45131</v>
      </c>
      <c r="B1667" s="2">
        <v>45131</v>
      </c>
      <c r="C1667">
        <v>3.5</v>
      </c>
      <c r="D1667">
        <v>4.25</v>
      </c>
      <c r="E1667" s="4">
        <v>4</v>
      </c>
    </row>
    <row r="1668" spans="1:5" x14ac:dyDescent="0.35">
      <c r="A1668" s="1">
        <v>45132</v>
      </c>
      <c r="B1668" s="2">
        <v>45132</v>
      </c>
      <c r="C1668">
        <v>3.5</v>
      </c>
      <c r="D1668">
        <v>4.25</v>
      </c>
      <c r="E1668" s="4">
        <v>4</v>
      </c>
    </row>
    <row r="1669" spans="1:5" x14ac:dyDescent="0.35">
      <c r="A1669" s="1">
        <v>45133</v>
      </c>
      <c r="B1669" s="2">
        <v>45133</v>
      </c>
      <c r="C1669">
        <v>3.5</v>
      </c>
      <c r="D1669">
        <v>4.25</v>
      </c>
      <c r="E1669" s="4">
        <v>4</v>
      </c>
    </row>
    <row r="1670" spans="1:5" x14ac:dyDescent="0.35">
      <c r="A1670" s="1">
        <v>45134</v>
      </c>
      <c r="B1670" s="2">
        <v>45134</v>
      </c>
      <c r="C1670">
        <v>3.5</v>
      </c>
      <c r="D1670">
        <v>4.25</v>
      </c>
      <c r="E1670" s="4">
        <v>4</v>
      </c>
    </row>
    <row r="1671" spans="1:5" x14ac:dyDescent="0.35">
      <c r="A1671" s="1">
        <v>45135</v>
      </c>
      <c r="B1671" s="2">
        <v>45135</v>
      </c>
      <c r="C1671">
        <v>3.5</v>
      </c>
      <c r="D1671">
        <v>4.25</v>
      </c>
      <c r="E1671" s="4">
        <v>4</v>
      </c>
    </row>
    <row r="1672" spans="1:5" x14ac:dyDescent="0.35">
      <c r="A1672" s="1">
        <v>45136</v>
      </c>
      <c r="B1672" s="2">
        <v>45136</v>
      </c>
      <c r="C1672">
        <v>3.5</v>
      </c>
      <c r="D1672">
        <v>4.25</v>
      </c>
      <c r="E1672" s="4">
        <v>4</v>
      </c>
    </row>
    <row r="1673" spans="1:5" x14ac:dyDescent="0.35">
      <c r="A1673" s="1">
        <v>45137</v>
      </c>
      <c r="B1673" s="2">
        <v>45137</v>
      </c>
      <c r="C1673">
        <v>3.5</v>
      </c>
      <c r="D1673">
        <v>4.25</v>
      </c>
      <c r="E1673" s="4">
        <v>4</v>
      </c>
    </row>
    <row r="1674" spans="1:5" x14ac:dyDescent="0.35">
      <c r="A1674" s="1">
        <v>45138</v>
      </c>
      <c r="B1674" s="2">
        <v>45138</v>
      </c>
      <c r="C1674">
        <v>3.5</v>
      </c>
      <c r="D1674">
        <v>4.25</v>
      </c>
      <c r="E1674" s="4">
        <v>4</v>
      </c>
    </row>
    <row r="1675" spans="1:5" x14ac:dyDescent="0.35">
      <c r="A1675" s="1">
        <v>45139</v>
      </c>
      <c r="B1675" s="2">
        <v>45139</v>
      </c>
      <c r="C1675">
        <v>3.5</v>
      </c>
      <c r="D1675">
        <v>4.25</v>
      </c>
      <c r="E1675" s="4">
        <v>4</v>
      </c>
    </row>
    <row r="1676" spans="1:5" x14ac:dyDescent="0.35">
      <c r="A1676" s="1">
        <v>45140</v>
      </c>
      <c r="B1676" s="2">
        <v>45140</v>
      </c>
      <c r="C1676">
        <v>3.75</v>
      </c>
      <c r="D1676">
        <v>4.5</v>
      </c>
      <c r="E1676" s="4">
        <v>4.25</v>
      </c>
    </row>
    <row r="1677" spans="1:5" x14ac:dyDescent="0.35">
      <c r="A1677" s="1">
        <v>45141</v>
      </c>
      <c r="B1677" s="2">
        <v>45141</v>
      </c>
      <c r="C1677">
        <v>3.75</v>
      </c>
      <c r="D1677">
        <v>4.5</v>
      </c>
      <c r="E1677" s="4">
        <v>4.25</v>
      </c>
    </row>
    <row r="1678" spans="1:5" x14ac:dyDescent="0.35">
      <c r="A1678" s="1">
        <v>45142</v>
      </c>
      <c r="B1678" s="2">
        <v>45142</v>
      </c>
      <c r="C1678">
        <v>3.75</v>
      </c>
      <c r="D1678">
        <v>4.5</v>
      </c>
      <c r="E1678" s="4">
        <v>4.25</v>
      </c>
    </row>
    <row r="1679" spans="1:5" x14ac:dyDescent="0.35">
      <c r="A1679" s="1">
        <v>45143</v>
      </c>
      <c r="B1679" s="2">
        <v>45143</v>
      </c>
      <c r="C1679">
        <v>3.75</v>
      </c>
      <c r="D1679">
        <v>4.5</v>
      </c>
      <c r="E1679" s="4">
        <v>4.25</v>
      </c>
    </row>
    <row r="1680" spans="1:5" x14ac:dyDescent="0.35">
      <c r="A1680" s="1">
        <v>45144</v>
      </c>
      <c r="B1680" s="2">
        <v>45144</v>
      </c>
      <c r="C1680">
        <v>3.75</v>
      </c>
      <c r="D1680">
        <v>4.5</v>
      </c>
      <c r="E1680" s="4">
        <v>4.25</v>
      </c>
    </row>
    <row r="1681" spans="1:5" x14ac:dyDescent="0.35">
      <c r="A1681" s="1">
        <v>45145</v>
      </c>
      <c r="B1681" s="2">
        <v>45145</v>
      </c>
      <c r="C1681">
        <v>3.75</v>
      </c>
      <c r="D1681">
        <v>4.5</v>
      </c>
      <c r="E1681" s="4">
        <v>4.25</v>
      </c>
    </row>
    <row r="1682" spans="1:5" x14ac:dyDescent="0.35">
      <c r="A1682" s="1">
        <v>45146</v>
      </c>
      <c r="B1682" s="2">
        <v>45146</v>
      </c>
      <c r="C1682">
        <v>3.75</v>
      </c>
      <c r="D1682">
        <v>4.5</v>
      </c>
      <c r="E1682" s="4">
        <v>4.25</v>
      </c>
    </row>
    <row r="1683" spans="1:5" x14ac:dyDescent="0.35">
      <c r="A1683" s="1">
        <v>45147</v>
      </c>
      <c r="B1683" s="2">
        <v>45147</v>
      </c>
      <c r="C1683">
        <v>3.75</v>
      </c>
      <c r="D1683">
        <v>4.5</v>
      </c>
      <c r="E1683" s="4">
        <v>4.25</v>
      </c>
    </row>
    <row r="1684" spans="1:5" x14ac:dyDescent="0.35">
      <c r="A1684" s="1">
        <v>45148</v>
      </c>
      <c r="B1684" s="2">
        <v>45148</v>
      </c>
      <c r="C1684">
        <v>3.75</v>
      </c>
      <c r="D1684">
        <v>4.5</v>
      </c>
      <c r="E1684" s="4">
        <v>4.25</v>
      </c>
    </row>
    <row r="1685" spans="1:5" x14ac:dyDescent="0.35">
      <c r="A1685" s="1">
        <v>45149</v>
      </c>
      <c r="B1685" s="2">
        <v>45149</v>
      </c>
      <c r="C1685">
        <v>3.75</v>
      </c>
      <c r="D1685">
        <v>4.5</v>
      </c>
      <c r="E1685" s="4">
        <v>4.25</v>
      </c>
    </row>
    <row r="1686" spans="1:5" x14ac:dyDescent="0.35">
      <c r="A1686" s="1">
        <v>45150</v>
      </c>
      <c r="B1686" s="2">
        <v>45150</v>
      </c>
      <c r="C1686">
        <v>3.75</v>
      </c>
      <c r="D1686">
        <v>4.5</v>
      </c>
      <c r="E1686" s="4">
        <v>4.25</v>
      </c>
    </row>
    <row r="1687" spans="1:5" x14ac:dyDescent="0.35">
      <c r="A1687" s="1">
        <v>45151</v>
      </c>
      <c r="B1687" s="2">
        <v>45151</v>
      </c>
      <c r="C1687">
        <v>3.75</v>
      </c>
      <c r="D1687">
        <v>4.5</v>
      </c>
      <c r="E1687" s="4">
        <v>4.25</v>
      </c>
    </row>
    <row r="1688" spans="1:5" x14ac:dyDescent="0.35">
      <c r="A1688" s="1">
        <v>45152</v>
      </c>
      <c r="B1688" s="2">
        <v>45152</v>
      </c>
      <c r="C1688">
        <v>3.75</v>
      </c>
      <c r="D1688">
        <v>4.5</v>
      </c>
      <c r="E1688" s="4">
        <v>4.25</v>
      </c>
    </row>
    <row r="1689" spans="1:5" x14ac:dyDescent="0.35">
      <c r="A1689" s="1">
        <v>45153</v>
      </c>
      <c r="B1689" s="2">
        <v>45153</v>
      </c>
      <c r="C1689">
        <v>3.75</v>
      </c>
      <c r="D1689">
        <v>4.5</v>
      </c>
      <c r="E1689" s="4">
        <v>4.25</v>
      </c>
    </row>
    <row r="1690" spans="1:5" x14ac:dyDescent="0.35">
      <c r="A1690" s="1">
        <v>45154</v>
      </c>
      <c r="B1690" s="2">
        <v>45154</v>
      </c>
      <c r="C1690">
        <v>3.75</v>
      </c>
      <c r="D1690">
        <v>4.5</v>
      </c>
      <c r="E1690" s="4">
        <v>4.25</v>
      </c>
    </row>
    <row r="1691" spans="1:5" x14ac:dyDescent="0.35">
      <c r="A1691" s="1">
        <v>45155</v>
      </c>
      <c r="B1691" s="2">
        <v>45155</v>
      </c>
      <c r="C1691">
        <v>3.75</v>
      </c>
      <c r="D1691">
        <v>4.5</v>
      </c>
      <c r="E1691" s="4">
        <v>4.25</v>
      </c>
    </row>
    <row r="1692" spans="1:5" x14ac:dyDescent="0.35">
      <c r="A1692" s="1">
        <v>45156</v>
      </c>
      <c r="B1692" s="2">
        <v>45156</v>
      </c>
      <c r="C1692">
        <v>3.75</v>
      </c>
      <c r="D1692">
        <v>4.5</v>
      </c>
      <c r="E1692" s="4">
        <v>4.25</v>
      </c>
    </row>
    <row r="1693" spans="1:5" x14ac:dyDescent="0.35">
      <c r="A1693" s="1">
        <v>45157</v>
      </c>
      <c r="B1693" s="2">
        <v>45157</v>
      </c>
      <c r="C1693">
        <v>3.75</v>
      </c>
      <c r="D1693">
        <v>4.5</v>
      </c>
      <c r="E1693" s="4">
        <v>4.25</v>
      </c>
    </row>
    <row r="1694" spans="1:5" x14ac:dyDescent="0.35">
      <c r="A1694" s="1">
        <v>45158</v>
      </c>
      <c r="B1694" s="2">
        <v>45158</v>
      </c>
      <c r="C1694">
        <v>3.75</v>
      </c>
      <c r="D1694">
        <v>4.5</v>
      </c>
      <c r="E1694" s="4">
        <v>4.25</v>
      </c>
    </row>
    <row r="1695" spans="1:5" x14ac:dyDescent="0.35">
      <c r="A1695" s="1">
        <v>45159</v>
      </c>
      <c r="B1695" s="2">
        <v>45159</v>
      </c>
      <c r="C1695">
        <v>3.75</v>
      </c>
      <c r="D1695">
        <v>4.5</v>
      </c>
      <c r="E1695" s="4">
        <v>4.25</v>
      </c>
    </row>
    <row r="1696" spans="1:5" x14ac:dyDescent="0.35">
      <c r="A1696" s="1">
        <v>45160</v>
      </c>
      <c r="B1696" s="2">
        <v>45160</v>
      </c>
      <c r="C1696">
        <v>3.75</v>
      </c>
      <c r="D1696">
        <v>4.5</v>
      </c>
      <c r="E1696" s="4">
        <v>4.25</v>
      </c>
    </row>
    <row r="1697" spans="1:5" x14ac:dyDescent="0.35">
      <c r="A1697" s="1">
        <v>45161</v>
      </c>
      <c r="B1697" s="2">
        <v>45161</v>
      </c>
      <c r="C1697">
        <v>3.75</v>
      </c>
      <c r="D1697">
        <v>4.5</v>
      </c>
      <c r="E1697" s="4">
        <v>4.25</v>
      </c>
    </row>
    <row r="1698" spans="1:5" x14ac:dyDescent="0.35">
      <c r="A1698" s="1">
        <v>45162</v>
      </c>
      <c r="B1698" s="2">
        <v>45162</v>
      </c>
      <c r="C1698">
        <v>3.75</v>
      </c>
      <c r="D1698">
        <v>4.5</v>
      </c>
      <c r="E1698" s="4">
        <v>4.25</v>
      </c>
    </row>
    <row r="1699" spans="1:5" x14ac:dyDescent="0.35">
      <c r="A1699" s="1">
        <v>45163</v>
      </c>
      <c r="B1699" s="2">
        <v>45163</v>
      </c>
      <c r="C1699">
        <v>3.75</v>
      </c>
      <c r="D1699">
        <v>4.5</v>
      </c>
      <c r="E1699" s="4">
        <v>4.25</v>
      </c>
    </row>
    <row r="1700" spans="1:5" x14ac:dyDescent="0.35">
      <c r="A1700" s="1">
        <v>45164</v>
      </c>
      <c r="B1700" s="2">
        <v>45164</v>
      </c>
      <c r="C1700">
        <v>3.75</v>
      </c>
      <c r="D1700">
        <v>4.5</v>
      </c>
      <c r="E1700" s="4">
        <v>4.25</v>
      </c>
    </row>
    <row r="1701" spans="1:5" x14ac:dyDescent="0.35">
      <c r="A1701" s="1">
        <v>45165</v>
      </c>
      <c r="B1701" s="2">
        <v>45165</v>
      </c>
      <c r="C1701">
        <v>3.75</v>
      </c>
      <c r="D1701">
        <v>4.5</v>
      </c>
      <c r="E1701" s="4">
        <v>4.25</v>
      </c>
    </row>
    <row r="1702" spans="1:5" x14ac:dyDescent="0.35">
      <c r="A1702" s="1">
        <v>45166</v>
      </c>
      <c r="B1702" s="2">
        <v>45166</v>
      </c>
      <c r="C1702">
        <v>3.75</v>
      </c>
      <c r="D1702">
        <v>4.5</v>
      </c>
      <c r="E1702" s="4">
        <v>4.25</v>
      </c>
    </row>
    <row r="1703" spans="1:5" x14ac:dyDescent="0.35">
      <c r="A1703" s="1">
        <v>45167</v>
      </c>
      <c r="B1703" s="2">
        <v>45167</v>
      </c>
      <c r="C1703">
        <v>3.75</v>
      </c>
      <c r="D1703">
        <v>4.5</v>
      </c>
      <c r="E1703" s="4">
        <v>4.25</v>
      </c>
    </row>
    <row r="1704" spans="1:5" x14ac:dyDescent="0.35">
      <c r="A1704" s="1">
        <v>45168</v>
      </c>
      <c r="B1704" s="2">
        <v>45168</v>
      </c>
      <c r="C1704">
        <v>3.75</v>
      </c>
      <c r="D1704">
        <v>4.5</v>
      </c>
      <c r="E1704" s="4">
        <v>4.25</v>
      </c>
    </row>
    <row r="1705" spans="1:5" x14ac:dyDescent="0.35">
      <c r="A1705" s="1">
        <v>45169</v>
      </c>
      <c r="B1705" s="2">
        <v>45169</v>
      </c>
      <c r="C1705">
        <v>3.75</v>
      </c>
      <c r="D1705">
        <v>4.5</v>
      </c>
      <c r="E1705" s="4">
        <v>4.25</v>
      </c>
    </row>
    <row r="1706" spans="1:5" x14ac:dyDescent="0.35">
      <c r="A1706" s="1">
        <v>45170</v>
      </c>
      <c r="B1706" s="2">
        <v>45170</v>
      </c>
      <c r="C1706">
        <v>3.75</v>
      </c>
      <c r="D1706">
        <v>4.5</v>
      </c>
      <c r="E1706" s="4">
        <v>4.25</v>
      </c>
    </row>
    <row r="1707" spans="1:5" x14ac:dyDescent="0.35">
      <c r="A1707" s="1">
        <v>45171</v>
      </c>
      <c r="B1707" s="2">
        <v>45171</v>
      </c>
      <c r="C1707">
        <v>3.75</v>
      </c>
      <c r="D1707">
        <v>4.5</v>
      </c>
      <c r="E1707" s="4">
        <v>4.25</v>
      </c>
    </row>
    <row r="1708" spans="1:5" x14ac:dyDescent="0.35">
      <c r="A1708" s="1">
        <v>45172</v>
      </c>
      <c r="B1708" s="2">
        <v>45172</v>
      </c>
      <c r="C1708">
        <v>3.75</v>
      </c>
      <c r="D1708">
        <v>4.5</v>
      </c>
      <c r="E1708" s="4">
        <v>4.25</v>
      </c>
    </row>
    <row r="1709" spans="1:5" x14ac:dyDescent="0.35">
      <c r="A1709" s="1">
        <v>45173</v>
      </c>
      <c r="B1709" s="2">
        <v>45173</v>
      </c>
      <c r="C1709">
        <v>3.75</v>
      </c>
      <c r="D1709">
        <v>4.5</v>
      </c>
      <c r="E1709" s="4">
        <v>4.25</v>
      </c>
    </row>
    <row r="1710" spans="1:5" x14ac:dyDescent="0.35">
      <c r="A1710" s="1">
        <v>45174</v>
      </c>
      <c r="B1710" s="2">
        <v>45174</v>
      </c>
      <c r="C1710">
        <v>3.75</v>
      </c>
      <c r="D1710">
        <v>4.5</v>
      </c>
      <c r="E1710" s="4">
        <v>4.25</v>
      </c>
    </row>
    <row r="1711" spans="1:5" x14ac:dyDescent="0.35">
      <c r="A1711" s="1">
        <v>45175</v>
      </c>
      <c r="B1711" s="2">
        <v>45175</v>
      </c>
      <c r="C1711">
        <v>3.75</v>
      </c>
      <c r="D1711">
        <v>4.5</v>
      </c>
      <c r="E1711" s="4">
        <v>4.25</v>
      </c>
    </row>
    <row r="1712" spans="1:5" x14ac:dyDescent="0.35">
      <c r="A1712" s="1">
        <v>45176</v>
      </c>
      <c r="B1712" s="2">
        <v>45176</v>
      </c>
      <c r="C1712">
        <v>3.75</v>
      </c>
      <c r="D1712">
        <v>4.5</v>
      </c>
      <c r="E1712" s="4">
        <v>4.25</v>
      </c>
    </row>
    <row r="1713" spans="1:5" x14ac:dyDescent="0.35">
      <c r="A1713" s="1">
        <v>45177</v>
      </c>
      <c r="B1713" s="2">
        <v>45177</v>
      </c>
      <c r="C1713">
        <v>3.75</v>
      </c>
      <c r="D1713">
        <v>4.5</v>
      </c>
      <c r="E1713" s="4">
        <v>4.25</v>
      </c>
    </row>
    <row r="1714" spans="1:5" x14ac:dyDescent="0.35">
      <c r="A1714" s="1">
        <v>45178</v>
      </c>
      <c r="B1714" s="2">
        <v>45178</v>
      </c>
      <c r="C1714">
        <v>3.75</v>
      </c>
      <c r="D1714">
        <v>4.5</v>
      </c>
      <c r="E1714" s="4">
        <v>4.25</v>
      </c>
    </row>
    <row r="1715" spans="1:5" x14ac:dyDescent="0.35">
      <c r="A1715" s="1">
        <v>45179</v>
      </c>
      <c r="B1715" s="2">
        <v>45179</v>
      </c>
      <c r="C1715">
        <v>3.75</v>
      </c>
      <c r="D1715">
        <v>4.5</v>
      </c>
      <c r="E1715" s="4">
        <v>4.25</v>
      </c>
    </row>
    <row r="1716" spans="1:5" x14ac:dyDescent="0.35">
      <c r="A1716" s="1">
        <v>45180</v>
      </c>
      <c r="B1716" s="2">
        <v>45180</v>
      </c>
      <c r="C1716">
        <v>3.75</v>
      </c>
      <c r="D1716">
        <v>4.5</v>
      </c>
      <c r="E1716" s="4">
        <v>4.25</v>
      </c>
    </row>
    <row r="1717" spans="1:5" x14ac:dyDescent="0.35">
      <c r="A1717" s="1">
        <v>45181</v>
      </c>
      <c r="B1717" s="2">
        <v>45181</v>
      </c>
      <c r="C1717">
        <v>3.75</v>
      </c>
      <c r="D1717">
        <v>4.5</v>
      </c>
      <c r="E1717" s="4">
        <v>4.25</v>
      </c>
    </row>
    <row r="1718" spans="1:5" x14ac:dyDescent="0.35">
      <c r="A1718" s="1">
        <v>45182</v>
      </c>
      <c r="B1718" s="2">
        <v>45182</v>
      </c>
      <c r="C1718">
        <v>3.75</v>
      </c>
      <c r="D1718">
        <v>4.5</v>
      </c>
      <c r="E1718" s="4">
        <v>4.25</v>
      </c>
    </row>
    <row r="1719" spans="1:5" x14ac:dyDescent="0.35">
      <c r="A1719" s="1">
        <v>45183</v>
      </c>
      <c r="B1719" s="2">
        <v>45183</v>
      </c>
      <c r="C1719">
        <v>3.75</v>
      </c>
      <c r="D1719">
        <v>4.5</v>
      </c>
      <c r="E1719" s="4">
        <v>4.25</v>
      </c>
    </row>
    <row r="1720" spans="1:5" x14ac:dyDescent="0.35">
      <c r="A1720" s="1">
        <v>45184</v>
      </c>
      <c r="B1720" s="2">
        <v>45184</v>
      </c>
      <c r="C1720">
        <v>3.75</v>
      </c>
      <c r="D1720">
        <v>4.5</v>
      </c>
      <c r="E1720" s="4">
        <v>4.25</v>
      </c>
    </row>
    <row r="1721" spans="1:5" x14ac:dyDescent="0.35">
      <c r="A1721" s="1">
        <v>45185</v>
      </c>
      <c r="B1721" s="2">
        <v>45185</v>
      </c>
      <c r="C1721">
        <v>3.75</v>
      </c>
      <c r="D1721">
        <v>4.5</v>
      </c>
      <c r="E1721" s="4">
        <v>4.25</v>
      </c>
    </row>
    <row r="1722" spans="1:5" x14ac:dyDescent="0.35">
      <c r="A1722" s="1">
        <v>45186</v>
      </c>
      <c r="B1722" s="2">
        <v>45186</v>
      </c>
      <c r="C1722">
        <v>3.75</v>
      </c>
      <c r="D1722">
        <v>4.5</v>
      </c>
      <c r="E1722" s="4">
        <v>4.25</v>
      </c>
    </row>
    <row r="1723" spans="1:5" x14ac:dyDescent="0.35">
      <c r="A1723" s="1">
        <v>45187</v>
      </c>
      <c r="B1723" s="2">
        <v>45187</v>
      </c>
      <c r="C1723">
        <v>3.75</v>
      </c>
      <c r="D1723">
        <v>4.5</v>
      </c>
      <c r="E1723" s="4">
        <v>4.25</v>
      </c>
    </row>
    <row r="1724" spans="1:5" x14ac:dyDescent="0.35">
      <c r="A1724" s="1">
        <v>45188</v>
      </c>
      <c r="B1724" s="2">
        <v>45188</v>
      </c>
      <c r="C1724">
        <v>3.75</v>
      </c>
      <c r="D1724">
        <v>4.5</v>
      </c>
      <c r="E1724" s="4">
        <v>4.25</v>
      </c>
    </row>
    <row r="1725" spans="1:5" x14ac:dyDescent="0.35">
      <c r="A1725" s="1">
        <v>45189</v>
      </c>
      <c r="B1725" s="2">
        <v>45189</v>
      </c>
      <c r="C1725">
        <v>4</v>
      </c>
      <c r="D1725">
        <v>4.75</v>
      </c>
      <c r="E1725" s="4">
        <v>4.5</v>
      </c>
    </row>
    <row r="1726" spans="1:5" x14ac:dyDescent="0.35">
      <c r="A1726" s="1">
        <v>45190</v>
      </c>
      <c r="B1726" s="2">
        <v>45190</v>
      </c>
      <c r="C1726">
        <v>4</v>
      </c>
      <c r="D1726">
        <v>4.75</v>
      </c>
      <c r="E1726" s="4">
        <v>4.5</v>
      </c>
    </row>
    <row r="1727" spans="1:5" x14ac:dyDescent="0.35">
      <c r="A1727" s="1">
        <v>45191</v>
      </c>
      <c r="B1727" s="2">
        <v>45191</v>
      </c>
      <c r="C1727">
        <v>4</v>
      </c>
      <c r="D1727">
        <v>4.75</v>
      </c>
      <c r="E1727" s="4">
        <v>4.5</v>
      </c>
    </row>
    <row r="1728" spans="1:5" x14ac:dyDescent="0.35">
      <c r="A1728" s="1">
        <v>45192</v>
      </c>
      <c r="B1728" s="2">
        <v>45192</v>
      </c>
      <c r="C1728">
        <v>4</v>
      </c>
      <c r="D1728">
        <v>4.75</v>
      </c>
      <c r="E1728" s="4">
        <v>4.5</v>
      </c>
    </row>
    <row r="1729" spans="1:5" x14ac:dyDescent="0.35">
      <c r="A1729" s="1">
        <v>45193</v>
      </c>
      <c r="B1729" s="2">
        <v>45193</v>
      </c>
      <c r="C1729">
        <v>4</v>
      </c>
      <c r="D1729">
        <v>4.75</v>
      </c>
      <c r="E1729" s="4">
        <v>4.5</v>
      </c>
    </row>
    <row r="1730" spans="1:5" x14ac:dyDescent="0.35">
      <c r="A1730" s="1">
        <v>45194</v>
      </c>
      <c r="B1730" s="2">
        <v>45194</v>
      </c>
      <c r="C1730">
        <v>4</v>
      </c>
      <c r="D1730">
        <v>4.75</v>
      </c>
      <c r="E1730" s="4">
        <v>4.5</v>
      </c>
    </row>
    <row r="1731" spans="1:5" x14ac:dyDescent="0.35">
      <c r="A1731" s="1">
        <v>45195</v>
      </c>
      <c r="B1731" s="2">
        <v>45195</v>
      </c>
      <c r="C1731">
        <v>4</v>
      </c>
      <c r="D1731">
        <v>4.75</v>
      </c>
      <c r="E1731" s="4">
        <v>4.5</v>
      </c>
    </row>
    <row r="1732" spans="1:5" x14ac:dyDescent="0.35">
      <c r="A1732" s="1">
        <v>45196</v>
      </c>
      <c r="B1732" s="2">
        <v>45196</v>
      </c>
      <c r="C1732">
        <v>4</v>
      </c>
      <c r="D1732">
        <v>4.75</v>
      </c>
      <c r="E1732" s="4">
        <v>4.5</v>
      </c>
    </row>
    <row r="1733" spans="1:5" x14ac:dyDescent="0.35">
      <c r="A1733" s="1">
        <v>45197</v>
      </c>
      <c r="B1733" s="2">
        <v>45197</v>
      </c>
      <c r="C1733">
        <v>4</v>
      </c>
      <c r="D1733">
        <v>4.75</v>
      </c>
      <c r="E1733" s="4">
        <v>4.5</v>
      </c>
    </row>
    <row r="1734" spans="1:5" x14ac:dyDescent="0.35">
      <c r="A1734" s="1">
        <v>45198</v>
      </c>
      <c r="B1734" s="2">
        <v>45198</v>
      </c>
      <c r="C1734">
        <v>4</v>
      </c>
      <c r="D1734">
        <v>4.75</v>
      </c>
      <c r="E1734" s="4">
        <v>4.5</v>
      </c>
    </row>
    <row r="1735" spans="1:5" x14ac:dyDescent="0.35">
      <c r="A1735" s="1">
        <v>45199</v>
      </c>
      <c r="B1735" s="2">
        <v>45199</v>
      </c>
      <c r="C1735">
        <v>4</v>
      </c>
      <c r="D1735">
        <v>4.75</v>
      </c>
      <c r="E1735" s="4">
        <v>4.5</v>
      </c>
    </row>
    <row r="1736" spans="1:5" x14ac:dyDescent="0.35">
      <c r="A1736" s="1">
        <v>45200</v>
      </c>
      <c r="B1736" s="2">
        <v>45200</v>
      </c>
      <c r="C1736">
        <v>4</v>
      </c>
      <c r="D1736">
        <v>4.75</v>
      </c>
      <c r="E1736" s="4">
        <v>4.5</v>
      </c>
    </row>
    <row r="1737" spans="1:5" x14ac:dyDescent="0.35">
      <c r="A1737" s="1">
        <v>45201</v>
      </c>
      <c r="B1737" s="2">
        <v>45201</v>
      </c>
      <c r="C1737">
        <v>4</v>
      </c>
      <c r="D1737">
        <v>4.75</v>
      </c>
      <c r="E1737" s="4">
        <v>4.5</v>
      </c>
    </row>
    <row r="1738" spans="1:5" x14ac:dyDescent="0.35">
      <c r="A1738" s="1">
        <v>45202</v>
      </c>
      <c r="B1738" s="2">
        <v>45202</v>
      </c>
      <c r="C1738">
        <v>4</v>
      </c>
      <c r="D1738">
        <v>4.75</v>
      </c>
      <c r="E1738" s="4">
        <v>4.5</v>
      </c>
    </row>
    <row r="1739" spans="1:5" x14ac:dyDescent="0.35">
      <c r="A1739" s="1">
        <v>45203</v>
      </c>
      <c r="B1739" s="2">
        <v>45203</v>
      </c>
      <c r="C1739">
        <v>4</v>
      </c>
      <c r="D1739">
        <v>4.75</v>
      </c>
      <c r="E1739" s="4">
        <v>4.5</v>
      </c>
    </row>
    <row r="1740" spans="1:5" x14ac:dyDescent="0.35">
      <c r="A1740" s="1">
        <v>45204</v>
      </c>
      <c r="B1740" s="2">
        <v>45204</v>
      </c>
      <c r="C1740">
        <v>4</v>
      </c>
      <c r="D1740">
        <v>4.75</v>
      </c>
      <c r="E1740" s="4">
        <v>4.5</v>
      </c>
    </row>
    <row r="1741" spans="1:5" x14ac:dyDescent="0.35">
      <c r="A1741" s="1">
        <v>45205</v>
      </c>
      <c r="B1741" s="2">
        <v>45205</v>
      </c>
      <c r="C1741">
        <v>4</v>
      </c>
      <c r="D1741">
        <v>4.75</v>
      </c>
      <c r="E1741" s="4">
        <v>4.5</v>
      </c>
    </row>
    <row r="1742" spans="1:5" x14ac:dyDescent="0.35">
      <c r="A1742" s="1">
        <v>45206</v>
      </c>
      <c r="B1742" s="2">
        <v>45206</v>
      </c>
      <c r="C1742">
        <v>4</v>
      </c>
      <c r="D1742">
        <v>4.75</v>
      </c>
      <c r="E1742" s="4">
        <v>4.5</v>
      </c>
    </row>
    <row r="1743" spans="1:5" x14ac:dyDescent="0.35">
      <c r="A1743" s="1">
        <v>45207</v>
      </c>
      <c r="B1743" s="2">
        <v>45207</v>
      </c>
      <c r="C1743">
        <v>4</v>
      </c>
      <c r="D1743">
        <v>4.75</v>
      </c>
      <c r="E1743" s="4">
        <v>4.5</v>
      </c>
    </row>
    <row r="1744" spans="1:5" x14ac:dyDescent="0.35">
      <c r="A1744" s="1">
        <v>45208</v>
      </c>
      <c r="B1744" s="2">
        <v>45208</v>
      </c>
      <c r="C1744">
        <v>4</v>
      </c>
      <c r="D1744">
        <v>4.75</v>
      </c>
      <c r="E1744" s="4">
        <v>4.5</v>
      </c>
    </row>
    <row r="1745" spans="1:5" x14ac:dyDescent="0.35">
      <c r="A1745" s="1">
        <v>45209</v>
      </c>
      <c r="B1745" s="2">
        <v>45209</v>
      </c>
      <c r="C1745">
        <v>4</v>
      </c>
      <c r="D1745">
        <v>4.75</v>
      </c>
      <c r="E1745" s="4">
        <v>4.5</v>
      </c>
    </row>
    <row r="1746" spans="1:5" x14ac:dyDescent="0.35">
      <c r="A1746" s="1">
        <v>45210</v>
      </c>
      <c r="B1746" s="2">
        <v>45210</v>
      </c>
      <c r="C1746">
        <v>4</v>
      </c>
      <c r="D1746">
        <v>4.75</v>
      </c>
      <c r="E1746" s="4">
        <v>4.5</v>
      </c>
    </row>
    <row r="1747" spans="1:5" x14ac:dyDescent="0.35">
      <c r="A1747" s="1">
        <v>45211</v>
      </c>
      <c r="B1747" s="2">
        <v>45211</v>
      </c>
      <c r="C1747">
        <v>4</v>
      </c>
      <c r="D1747">
        <v>4.75</v>
      </c>
      <c r="E1747" s="4">
        <v>4.5</v>
      </c>
    </row>
    <row r="1748" spans="1:5" x14ac:dyDescent="0.35">
      <c r="A1748" s="1">
        <v>45212</v>
      </c>
      <c r="B1748" s="2">
        <v>45212</v>
      </c>
      <c r="C1748">
        <v>4</v>
      </c>
      <c r="D1748">
        <v>4.75</v>
      </c>
      <c r="E1748" s="4">
        <v>4.5</v>
      </c>
    </row>
    <row r="1749" spans="1:5" x14ac:dyDescent="0.35">
      <c r="A1749" s="1">
        <v>45213</v>
      </c>
      <c r="B1749" s="2">
        <v>45213</v>
      </c>
      <c r="C1749">
        <v>4</v>
      </c>
      <c r="D1749">
        <v>4.75</v>
      </c>
      <c r="E1749" s="4">
        <v>4.5</v>
      </c>
    </row>
    <row r="1750" spans="1:5" x14ac:dyDescent="0.35">
      <c r="A1750" s="1">
        <v>45214</v>
      </c>
      <c r="B1750" s="2">
        <v>45214</v>
      </c>
      <c r="C1750">
        <v>4</v>
      </c>
      <c r="D1750">
        <v>4.75</v>
      </c>
      <c r="E1750" s="4">
        <v>4.5</v>
      </c>
    </row>
    <row r="1751" spans="1:5" x14ac:dyDescent="0.35">
      <c r="A1751" s="1">
        <v>45215</v>
      </c>
      <c r="B1751" s="2">
        <v>45215</v>
      </c>
      <c r="C1751">
        <v>4</v>
      </c>
      <c r="D1751">
        <v>4.75</v>
      </c>
      <c r="E1751" s="4">
        <v>4.5</v>
      </c>
    </row>
    <row r="1752" spans="1:5" x14ac:dyDescent="0.35">
      <c r="A1752" s="1">
        <v>45216</v>
      </c>
      <c r="B1752" s="2">
        <v>45216</v>
      </c>
      <c r="C1752">
        <v>4</v>
      </c>
      <c r="D1752">
        <v>4.75</v>
      </c>
      <c r="E1752" s="4">
        <v>4.5</v>
      </c>
    </row>
    <row r="1753" spans="1:5" x14ac:dyDescent="0.35">
      <c r="A1753" s="1">
        <v>45217</v>
      </c>
      <c r="B1753" s="2">
        <v>45217</v>
      </c>
      <c r="C1753">
        <v>4</v>
      </c>
      <c r="D1753">
        <v>4.75</v>
      </c>
      <c r="E1753" s="4">
        <v>4.5</v>
      </c>
    </row>
    <row r="1754" spans="1:5" x14ac:dyDescent="0.35">
      <c r="A1754" s="1">
        <v>45218</v>
      </c>
      <c r="B1754" s="2">
        <v>45218</v>
      </c>
      <c r="C1754">
        <v>4</v>
      </c>
      <c r="D1754">
        <v>4.75</v>
      </c>
      <c r="E1754" s="4">
        <v>4.5</v>
      </c>
    </row>
    <row r="1755" spans="1:5" x14ac:dyDescent="0.35">
      <c r="A1755" s="1">
        <v>45219</v>
      </c>
      <c r="B1755" s="2">
        <v>45219</v>
      </c>
      <c r="C1755">
        <v>4</v>
      </c>
      <c r="D1755">
        <v>4.75</v>
      </c>
      <c r="E1755" s="4">
        <v>4.5</v>
      </c>
    </row>
    <row r="1756" spans="1:5" x14ac:dyDescent="0.35">
      <c r="A1756" s="1">
        <v>45220</v>
      </c>
      <c r="B1756" s="2">
        <v>45220</v>
      </c>
      <c r="C1756">
        <v>4</v>
      </c>
      <c r="D1756">
        <v>4.75</v>
      </c>
      <c r="E1756" s="4">
        <v>4.5</v>
      </c>
    </row>
    <row r="1757" spans="1:5" x14ac:dyDescent="0.35">
      <c r="A1757" s="1">
        <v>45221</v>
      </c>
      <c r="B1757" s="2">
        <v>45221</v>
      </c>
      <c r="C1757">
        <v>4</v>
      </c>
      <c r="D1757">
        <v>4.75</v>
      </c>
      <c r="E1757" s="4">
        <v>4.5</v>
      </c>
    </row>
    <row r="1758" spans="1:5" x14ac:dyDescent="0.35">
      <c r="A1758" s="1">
        <v>45222</v>
      </c>
      <c r="B1758" s="2">
        <v>45222</v>
      </c>
      <c r="C1758">
        <v>4</v>
      </c>
      <c r="D1758">
        <v>4.75</v>
      </c>
      <c r="E1758" s="4">
        <v>4.5</v>
      </c>
    </row>
    <row r="1759" spans="1:5" x14ac:dyDescent="0.35">
      <c r="A1759" s="1">
        <v>45223</v>
      </c>
      <c r="B1759" s="2">
        <v>45223</v>
      </c>
      <c r="C1759">
        <v>4</v>
      </c>
      <c r="D1759">
        <v>4.75</v>
      </c>
      <c r="E1759" s="4">
        <v>4.5</v>
      </c>
    </row>
    <row r="1760" spans="1:5" x14ac:dyDescent="0.35">
      <c r="A1760" s="1">
        <v>45224</v>
      </c>
      <c r="B1760" s="2">
        <v>45224</v>
      </c>
      <c r="C1760">
        <v>4</v>
      </c>
      <c r="D1760">
        <v>4.75</v>
      </c>
      <c r="E1760" s="4">
        <v>4.5</v>
      </c>
    </row>
    <row r="1761" spans="1:5" x14ac:dyDescent="0.35">
      <c r="A1761" s="1">
        <v>45225</v>
      </c>
      <c r="B1761" s="2">
        <v>45225</v>
      </c>
      <c r="C1761">
        <v>4</v>
      </c>
      <c r="D1761">
        <v>4.75</v>
      </c>
      <c r="E1761" s="4">
        <v>4.5</v>
      </c>
    </row>
    <row r="1762" spans="1:5" x14ac:dyDescent="0.35">
      <c r="A1762" s="1">
        <v>45226</v>
      </c>
      <c r="B1762" s="2">
        <v>45226</v>
      </c>
      <c r="C1762">
        <v>4</v>
      </c>
      <c r="D1762">
        <v>4.75</v>
      </c>
      <c r="E1762" s="4">
        <v>4.5</v>
      </c>
    </row>
    <row r="1763" spans="1:5" x14ac:dyDescent="0.35">
      <c r="A1763" s="1">
        <v>45227</v>
      </c>
      <c r="B1763" s="2">
        <v>45227</v>
      </c>
      <c r="C1763">
        <v>4</v>
      </c>
      <c r="D1763">
        <v>4.75</v>
      </c>
      <c r="E1763" s="4">
        <v>4.5</v>
      </c>
    </row>
    <row r="1764" spans="1:5" x14ac:dyDescent="0.35">
      <c r="A1764" s="1">
        <v>45228</v>
      </c>
      <c r="B1764" s="2">
        <v>45228</v>
      </c>
      <c r="C1764">
        <v>4</v>
      </c>
      <c r="D1764">
        <v>4.75</v>
      </c>
      <c r="E1764" s="4">
        <v>4.5</v>
      </c>
    </row>
    <row r="1765" spans="1:5" x14ac:dyDescent="0.35">
      <c r="A1765" s="1">
        <v>45229</v>
      </c>
      <c r="B1765" s="2">
        <v>45229</v>
      </c>
      <c r="C1765">
        <v>4</v>
      </c>
      <c r="D1765">
        <v>4.75</v>
      </c>
      <c r="E1765" s="4">
        <v>4.5</v>
      </c>
    </row>
    <row r="1766" spans="1:5" x14ac:dyDescent="0.35">
      <c r="A1766" s="1">
        <v>45230</v>
      </c>
      <c r="B1766" s="2">
        <v>45230</v>
      </c>
      <c r="C1766">
        <v>4</v>
      </c>
      <c r="D1766">
        <v>4.75</v>
      </c>
      <c r="E1766" s="4">
        <v>4.5</v>
      </c>
    </row>
    <row r="1767" spans="1:5" x14ac:dyDescent="0.35">
      <c r="A1767" s="1">
        <v>45231</v>
      </c>
      <c r="B1767" s="2">
        <v>45231</v>
      </c>
      <c r="C1767">
        <v>4</v>
      </c>
      <c r="D1767">
        <v>4.75</v>
      </c>
      <c r="E1767" s="4">
        <v>4.5</v>
      </c>
    </row>
    <row r="1768" spans="1:5" x14ac:dyDescent="0.35">
      <c r="A1768" s="1">
        <v>45232</v>
      </c>
      <c r="B1768" s="2">
        <v>45232</v>
      </c>
      <c r="C1768">
        <v>4</v>
      </c>
      <c r="D1768">
        <v>4.75</v>
      </c>
      <c r="E1768" s="4">
        <v>4.5</v>
      </c>
    </row>
    <row r="1769" spans="1:5" x14ac:dyDescent="0.35">
      <c r="A1769" s="1">
        <v>45233</v>
      </c>
      <c r="B1769" s="2">
        <v>45233</v>
      </c>
      <c r="C1769">
        <v>4</v>
      </c>
      <c r="D1769">
        <v>4.75</v>
      </c>
      <c r="E1769" s="4">
        <v>4.5</v>
      </c>
    </row>
    <row r="1770" spans="1:5" x14ac:dyDescent="0.35">
      <c r="A1770" s="1">
        <v>45234</v>
      </c>
      <c r="B1770" s="2">
        <v>45234</v>
      </c>
      <c r="C1770">
        <v>4</v>
      </c>
      <c r="D1770">
        <v>4.75</v>
      </c>
      <c r="E1770" s="4">
        <v>4.5</v>
      </c>
    </row>
    <row r="1771" spans="1:5" x14ac:dyDescent="0.35">
      <c r="A1771" s="1">
        <v>45235</v>
      </c>
      <c r="B1771" s="2">
        <v>45235</v>
      </c>
      <c r="C1771">
        <v>4</v>
      </c>
      <c r="D1771">
        <v>4.75</v>
      </c>
      <c r="E1771" s="4">
        <v>4.5</v>
      </c>
    </row>
    <row r="1772" spans="1:5" x14ac:dyDescent="0.35">
      <c r="A1772" s="1">
        <v>45236</v>
      </c>
      <c r="B1772" s="2">
        <v>45236</v>
      </c>
      <c r="C1772">
        <v>4</v>
      </c>
      <c r="D1772">
        <v>4.75</v>
      </c>
      <c r="E1772" s="4">
        <v>4.5</v>
      </c>
    </row>
    <row r="1773" spans="1:5" x14ac:dyDescent="0.35">
      <c r="A1773" s="1">
        <v>45237</v>
      </c>
      <c r="B1773" s="2">
        <v>45237</v>
      </c>
      <c r="C1773">
        <v>4</v>
      </c>
      <c r="D1773">
        <v>4.75</v>
      </c>
      <c r="E1773" s="4">
        <v>4.5</v>
      </c>
    </row>
    <row r="1774" spans="1:5" x14ac:dyDescent="0.35">
      <c r="A1774" s="1">
        <v>45238</v>
      </c>
      <c r="B1774" s="2">
        <v>45238</v>
      </c>
      <c r="C1774">
        <v>4</v>
      </c>
      <c r="D1774">
        <v>4.75</v>
      </c>
      <c r="E1774" s="4">
        <v>4.5</v>
      </c>
    </row>
    <row r="1775" spans="1:5" x14ac:dyDescent="0.35">
      <c r="A1775" s="1">
        <v>45239</v>
      </c>
      <c r="B1775" s="2">
        <v>45239</v>
      </c>
      <c r="C1775">
        <v>4</v>
      </c>
      <c r="D1775">
        <v>4.75</v>
      </c>
      <c r="E1775" s="4">
        <v>4.5</v>
      </c>
    </row>
    <row r="1776" spans="1:5" x14ac:dyDescent="0.35">
      <c r="A1776" s="1">
        <v>45240</v>
      </c>
      <c r="B1776" s="2">
        <v>45240</v>
      </c>
      <c r="C1776">
        <v>4</v>
      </c>
      <c r="D1776">
        <v>4.75</v>
      </c>
      <c r="E1776" s="4">
        <v>4.5</v>
      </c>
    </row>
    <row r="1777" spans="1:5" x14ac:dyDescent="0.35">
      <c r="A1777" s="1">
        <v>45241</v>
      </c>
      <c r="B1777" s="2">
        <v>45241</v>
      </c>
      <c r="C1777">
        <v>4</v>
      </c>
      <c r="D1777">
        <v>4.75</v>
      </c>
      <c r="E1777" s="4">
        <v>4.5</v>
      </c>
    </row>
    <row r="1778" spans="1:5" x14ac:dyDescent="0.35">
      <c r="A1778" s="1">
        <v>45242</v>
      </c>
      <c r="B1778" s="2">
        <v>45242</v>
      </c>
      <c r="C1778">
        <v>4</v>
      </c>
      <c r="D1778">
        <v>4.75</v>
      </c>
      <c r="E1778" s="4">
        <v>4.5</v>
      </c>
    </row>
    <row r="1779" spans="1:5" x14ac:dyDescent="0.35">
      <c r="A1779" s="1">
        <v>45243</v>
      </c>
      <c r="B1779" s="2">
        <v>45243</v>
      </c>
      <c r="C1779">
        <v>4</v>
      </c>
      <c r="D1779">
        <v>4.75</v>
      </c>
      <c r="E1779" s="4">
        <v>4.5</v>
      </c>
    </row>
    <row r="1780" spans="1:5" x14ac:dyDescent="0.35">
      <c r="A1780" s="1">
        <v>45244</v>
      </c>
      <c r="B1780" s="2">
        <v>45244</v>
      </c>
      <c r="C1780">
        <v>4</v>
      </c>
      <c r="D1780">
        <v>4.75</v>
      </c>
      <c r="E1780" s="4">
        <v>4.5</v>
      </c>
    </row>
    <row r="1781" spans="1:5" x14ac:dyDescent="0.35">
      <c r="A1781" s="1">
        <v>45245</v>
      </c>
      <c r="B1781" s="2">
        <v>45245</v>
      </c>
      <c r="C1781">
        <v>4</v>
      </c>
      <c r="D1781">
        <v>4.75</v>
      </c>
      <c r="E1781" s="4">
        <v>4.5</v>
      </c>
    </row>
    <row r="1782" spans="1:5" x14ac:dyDescent="0.35">
      <c r="A1782" s="1">
        <v>45246</v>
      </c>
      <c r="B1782" s="2">
        <v>45246</v>
      </c>
      <c r="C1782">
        <v>4</v>
      </c>
      <c r="D1782">
        <v>4.75</v>
      </c>
      <c r="E1782" s="4">
        <v>4.5</v>
      </c>
    </row>
    <row r="1783" spans="1:5" x14ac:dyDescent="0.35">
      <c r="A1783" s="1">
        <v>45247</v>
      </c>
      <c r="B1783" s="2">
        <v>45247</v>
      </c>
      <c r="C1783">
        <v>4</v>
      </c>
      <c r="D1783">
        <v>4.75</v>
      </c>
      <c r="E1783" s="4">
        <v>4.5</v>
      </c>
    </row>
    <row r="1784" spans="1:5" x14ac:dyDescent="0.35">
      <c r="A1784" s="1">
        <v>45248</v>
      </c>
      <c r="B1784" s="2">
        <v>45248</v>
      </c>
      <c r="C1784">
        <v>4</v>
      </c>
      <c r="D1784">
        <v>4.75</v>
      </c>
      <c r="E1784" s="4">
        <v>4.5</v>
      </c>
    </row>
    <row r="1785" spans="1:5" x14ac:dyDescent="0.35">
      <c r="A1785" s="1">
        <v>45249</v>
      </c>
      <c r="B1785" s="2">
        <v>45249</v>
      </c>
      <c r="C1785">
        <v>4</v>
      </c>
      <c r="D1785">
        <v>4.75</v>
      </c>
      <c r="E1785" s="4">
        <v>4.5</v>
      </c>
    </row>
    <row r="1786" spans="1:5" x14ac:dyDescent="0.35">
      <c r="A1786" s="1">
        <v>45250</v>
      </c>
      <c r="B1786" s="2">
        <v>45250</v>
      </c>
      <c r="C1786">
        <v>4</v>
      </c>
      <c r="D1786">
        <v>4.75</v>
      </c>
      <c r="E1786" s="4">
        <v>4.5</v>
      </c>
    </row>
    <row r="1787" spans="1:5" x14ac:dyDescent="0.35">
      <c r="A1787" s="1">
        <v>45251</v>
      </c>
      <c r="B1787" s="2">
        <v>45251</v>
      </c>
      <c r="C1787">
        <v>4</v>
      </c>
      <c r="D1787">
        <v>4.75</v>
      </c>
      <c r="E1787" s="4">
        <v>4.5</v>
      </c>
    </row>
    <row r="1788" spans="1:5" x14ac:dyDescent="0.35">
      <c r="A1788" s="1">
        <v>45252</v>
      </c>
      <c r="B1788" s="2">
        <v>45252</v>
      </c>
      <c r="C1788">
        <v>4</v>
      </c>
      <c r="D1788">
        <v>4.75</v>
      </c>
      <c r="E1788" s="4">
        <v>4.5</v>
      </c>
    </row>
    <row r="1789" spans="1:5" x14ac:dyDescent="0.35">
      <c r="A1789" s="1">
        <v>45253</v>
      </c>
      <c r="B1789" s="2">
        <v>45253</v>
      </c>
      <c r="C1789">
        <v>4</v>
      </c>
      <c r="D1789">
        <v>4.75</v>
      </c>
      <c r="E1789" s="4">
        <v>4.5</v>
      </c>
    </row>
    <row r="1790" spans="1:5" x14ac:dyDescent="0.35">
      <c r="A1790" s="1">
        <v>45254</v>
      </c>
      <c r="B1790" s="2">
        <v>45254</v>
      </c>
      <c r="C1790">
        <v>4</v>
      </c>
      <c r="D1790">
        <v>4.75</v>
      </c>
      <c r="E1790" s="4">
        <v>4.5</v>
      </c>
    </row>
    <row r="1791" spans="1:5" x14ac:dyDescent="0.35">
      <c r="A1791" s="1">
        <v>45255</v>
      </c>
      <c r="B1791" s="2">
        <v>45255</v>
      </c>
      <c r="C1791">
        <v>4</v>
      </c>
      <c r="D1791">
        <v>4.75</v>
      </c>
      <c r="E1791" s="4">
        <v>4.5</v>
      </c>
    </row>
    <row r="1792" spans="1:5" x14ac:dyDescent="0.35">
      <c r="A1792" s="1">
        <v>45256</v>
      </c>
      <c r="B1792" s="2">
        <v>45256</v>
      </c>
      <c r="C1792">
        <v>4</v>
      </c>
      <c r="D1792">
        <v>4.75</v>
      </c>
      <c r="E1792" s="4">
        <v>4.5</v>
      </c>
    </row>
    <row r="1793" spans="1:5" x14ac:dyDescent="0.35">
      <c r="A1793" s="1">
        <v>45257</v>
      </c>
      <c r="B1793" s="2">
        <v>45257</v>
      </c>
      <c r="C1793">
        <v>4</v>
      </c>
      <c r="D1793">
        <v>4.75</v>
      </c>
      <c r="E1793" s="4">
        <v>4.5</v>
      </c>
    </row>
    <row r="1794" spans="1:5" x14ac:dyDescent="0.35">
      <c r="A1794" s="1">
        <v>45258</v>
      </c>
      <c r="B1794" s="2">
        <v>45258</v>
      </c>
      <c r="C1794">
        <v>4</v>
      </c>
      <c r="D1794">
        <v>4.75</v>
      </c>
      <c r="E1794" s="4">
        <v>4.5</v>
      </c>
    </row>
    <row r="1795" spans="1:5" x14ac:dyDescent="0.35">
      <c r="A1795" s="1">
        <v>45259</v>
      </c>
      <c r="B1795" s="2">
        <v>45259</v>
      </c>
      <c r="C1795">
        <v>4</v>
      </c>
      <c r="D1795">
        <v>4.75</v>
      </c>
      <c r="E1795" s="4">
        <v>4.5</v>
      </c>
    </row>
    <row r="1796" spans="1:5" x14ac:dyDescent="0.35">
      <c r="A1796" s="1">
        <v>45260</v>
      </c>
      <c r="B1796" s="2">
        <v>45260</v>
      </c>
      <c r="C1796">
        <v>4</v>
      </c>
      <c r="D1796">
        <v>4.75</v>
      </c>
      <c r="E1796" s="4">
        <v>4.5</v>
      </c>
    </row>
    <row r="1797" spans="1:5" x14ac:dyDescent="0.35">
      <c r="A1797" s="1">
        <v>45261</v>
      </c>
      <c r="B1797" s="2">
        <v>45261</v>
      </c>
      <c r="C1797">
        <v>4</v>
      </c>
      <c r="D1797">
        <v>4.75</v>
      </c>
      <c r="E1797" s="4">
        <v>4.5</v>
      </c>
    </row>
    <row r="1798" spans="1:5" x14ac:dyDescent="0.35">
      <c r="A1798" s="1">
        <v>45262</v>
      </c>
      <c r="B1798" s="2">
        <v>45262</v>
      </c>
      <c r="C1798">
        <v>4</v>
      </c>
      <c r="D1798">
        <v>4.75</v>
      </c>
      <c r="E1798" s="4">
        <v>4.5</v>
      </c>
    </row>
    <row r="1799" spans="1:5" x14ac:dyDescent="0.35">
      <c r="A1799" s="1">
        <v>45263</v>
      </c>
      <c r="B1799" s="2">
        <v>45263</v>
      </c>
      <c r="C1799">
        <v>4</v>
      </c>
      <c r="D1799">
        <v>4.75</v>
      </c>
      <c r="E1799" s="4">
        <v>4.5</v>
      </c>
    </row>
    <row r="1800" spans="1:5" x14ac:dyDescent="0.35">
      <c r="A1800" s="1">
        <v>45264</v>
      </c>
      <c r="B1800" s="2">
        <v>45264</v>
      </c>
      <c r="C1800">
        <v>4</v>
      </c>
      <c r="D1800">
        <v>4.75</v>
      </c>
      <c r="E1800" s="4">
        <v>4.5</v>
      </c>
    </row>
    <row r="1801" spans="1:5" x14ac:dyDescent="0.35">
      <c r="A1801" s="1">
        <v>45265</v>
      </c>
      <c r="B1801" s="2">
        <v>45265</v>
      </c>
      <c r="C1801">
        <v>4</v>
      </c>
      <c r="D1801">
        <v>4.75</v>
      </c>
      <c r="E1801" s="4">
        <v>4.5</v>
      </c>
    </row>
    <row r="1802" spans="1:5" x14ac:dyDescent="0.35">
      <c r="A1802" s="1">
        <v>45266</v>
      </c>
      <c r="B1802" s="2">
        <v>45266</v>
      </c>
      <c r="C1802">
        <v>4</v>
      </c>
      <c r="D1802">
        <v>4.75</v>
      </c>
      <c r="E1802" s="4">
        <v>4.5</v>
      </c>
    </row>
    <row r="1803" spans="1:5" x14ac:dyDescent="0.35">
      <c r="A1803" s="1">
        <v>45267</v>
      </c>
      <c r="B1803" s="2">
        <v>45267</v>
      </c>
      <c r="C1803">
        <v>4</v>
      </c>
      <c r="D1803">
        <v>4.75</v>
      </c>
      <c r="E1803" s="4">
        <v>4.5</v>
      </c>
    </row>
    <row r="1804" spans="1:5" x14ac:dyDescent="0.35">
      <c r="A1804" s="1">
        <v>45268</v>
      </c>
      <c r="B1804" s="2">
        <v>45268</v>
      </c>
      <c r="C1804">
        <v>4</v>
      </c>
      <c r="D1804">
        <v>4.75</v>
      </c>
      <c r="E1804" s="4">
        <v>4.5</v>
      </c>
    </row>
    <row r="1805" spans="1:5" x14ac:dyDescent="0.35">
      <c r="A1805" s="1">
        <v>45269</v>
      </c>
      <c r="B1805" s="2">
        <v>45269</v>
      </c>
      <c r="C1805">
        <v>4</v>
      </c>
      <c r="D1805">
        <v>4.75</v>
      </c>
      <c r="E1805" s="4">
        <v>4.5</v>
      </c>
    </row>
    <row r="1806" spans="1:5" x14ac:dyDescent="0.35">
      <c r="A1806" s="1">
        <v>45270</v>
      </c>
      <c r="B1806" s="2">
        <v>45270</v>
      </c>
      <c r="C1806">
        <v>4</v>
      </c>
      <c r="D1806">
        <v>4.75</v>
      </c>
      <c r="E1806" s="4">
        <v>4.5</v>
      </c>
    </row>
    <row r="1807" spans="1:5" x14ac:dyDescent="0.35">
      <c r="A1807" s="1">
        <v>45271</v>
      </c>
      <c r="B1807" s="2">
        <v>45271</v>
      </c>
      <c r="C1807">
        <v>4</v>
      </c>
      <c r="D1807">
        <v>4.75</v>
      </c>
      <c r="E1807" s="4">
        <v>4.5</v>
      </c>
    </row>
    <row r="1808" spans="1:5" x14ac:dyDescent="0.35">
      <c r="A1808" s="1">
        <v>45272</v>
      </c>
      <c r="B1808" s="2">
        <v>45272</v>
      </c>
      <c r="C1808">
        <v>4</v>
      </c>
      <c r="D1808">
        <v>4.75</v>
      </c>
      <c r="E1808" s="4">
        <v>4.5</v>
      </c>
    </row>
    <row r="1809" spans="1:5" x14ac:dyDescent="0.35">
      <c r="A1809" s="1">
        <v>45273</v>
      </c>
      <c r="B1809" s="2">
        <v>45273</v>
      </c>
      <c r="C1809">
        <v>4</v>
      </c>
      <c r="D1809">
        <v>4.75</v>
      </c>
      <c r="E1809" s="4">
        <v>4.5</v>
      </c>
    </row>
    <row r="1810" spans="1:5" x14ac:dyDescent="0.35">
      <c r="A1810" s="1">
        <v>45274</v>
      </c>
      <c r="B1810" s="2">
        <v>45274</v>
      </c>
      <c r="C1810">
        <v>4</v>
      </c>
      <c r="D1810">
        <v>4.75</v>
      </c>
      <c r="E1810" s="4">
        <v>4.5</v>
      </c>
    </row>
    <row r="1811" spans="1:5" x14ac:dyDescent="0.35">
      <c r="A1811" s="1">
        <v>45275</v>
      </c>
      <c r="B1811" s="2">
        <v>45275</v>
      </c>
      <c r="C1811">
        <v>4</v>
      </c>
      <c r="D1811">
        <v>4.75</v>
      </c>
      <c r="E1811" s="4">
        <v>4.5</v>
      </c>
    </row>
    <row r="1812" spans="1:5" x14ac:dyDescent="0.35">
      <c r="A1812" s="1">
        <v>45276</v>
      </c>
      <c r="B1812" s="2">
        <v>45276</v>
      </c>
      <c r="C1812">
        <v>4</v>
      </c>
      <c r="D1812">
        <v>4.75</v>
      </c>
      <c r="E1812" s="4">
        <v>4.5</v>
      </c>
    </row>
    <row r="1813" spans="1:5" x14ac:dyDescent="0.35">
      <c r="A1813" s="1">
        <v>45277</v>
      </c>
      <c r="B1813" s="2">
        <v>45277</v>
      </c>
      <c r="C1813">
        <v>4</v>
      </c>
      <c r="D1813">
        <v>4.75</v>
      </c>
      <c r="E1813" s="4">
        <v>4.5</v>
      </c>
    </row>
    <row r="1814" spans="1:5" x14ac:dyDescent="0.35">
      <c r="A1814" s="1">
        <v>45278</v>
      </c>
      <c r="B1814" s="2">
        <v>45278</v>
      </c>
      <c r="C1814">
        <v>4</v>
      </c>
      <c r="D1814">
        <v>4.75</v>
      </c>
      <c r="E1814" s="4">
        <v>4.5</v>
      </c>
    </row>
    <row r="1815" spans="1:5" x14ac:dyDescent="0.35">
      <c r="A1815" s="1">
        <v>45279</v>
      </c>
      <c r="B1815" s="2">
        <v>45279</v>
      </c>
      <c r="C1815">
        <v>4</v>
      </c>
      <c r="D1815">
        <v>4.75</v>
      </c>
      <c r="E1815" s="4">
        <v>4.5</v>
      </c>
    </row>
    <row r="1816" spans="1:5" x14ac:dyDescent="0.35">
      <c r="A1816" s="1">
        <v>45280</v>
      </c>
      <c r="B1816" s="2">
        <v>45280</v>
      </c>
      <c r="C1816">
        <v>4</v>
      </c>
      <c r="D1816">
        <v>4.75</v>
      </c>
      <c r="E1816" s="4">
        <v>4.5</v>
      </c>
    </row>
    <row r="1817" spans="1:5" x14ac:dyDescent="0.35">
      <c r="A1817" s="1">
        <v>45281</v>
      </c>
      <c r="B1817" s="2">
        <v>45281</v>
      </c>
      <c r="C1817">
        <v>4</v>
      </c>
      <c r="D1817">
        <v>4.75</v>
      </c>
      <c r="E1817" s="4">
        <v>4.5</v>
      </c>
    </row>
    <row r="1818" spans="1:5" x14ac:dyDescent="0.35">
      <c r="A1818" s="1">
        <v>45282</v>
      </c>
      <c r="B1818" s="2">
        <v>45282</v>
      </c>
      <c r="C1818">
        <v>4</v>
      </c>
      <c r="D1818">
        <v>4.75</v>
      </c>
      <c r="E1818" s="4">
        <v>4.5</v>
      </c>
    </row>
    <row r="1819" spans="1:5" x14ac:dyDescent="0.35">
      <c r="A1819" s="1">
        <v>45283</v>
      </c>
      <c r="B1819" s="2">
        <v>45283</v>
      </c>
      <c r="C1819">
        <v>4</v>
      </c>
      <c r="D1819">
        <v>4.75</v>
      </c>
      <c r="E1819" s="4">
        <v>4.5</v>
      </c>
    </row>
    <row r="1820" spans="1:5" x14ac:dyDescent="0.35">
      <c r="A1820" s="1">
        <v>45284</v>
      </c>
      <c r="B1820" s="2">
        <v>45284</v>
      </c>
      <c r="C1820">
        <v>4</v>
      </c>
      <c r="D1820">
        <v>4.75</v>
      </c>
      <c r="E1820" s="4">
        <v>4.5</v>
      </c>
    </row>
    <row r="1821" spans="1:5" x14ac:dyDescent="0.35">
      <c r="A1821" s="1">
        <v>45285</v>
      </c>
      <c r="B1821" s="2">
        <v>45285</v>
      </c>
      <c r="C1821">
        <v>4</v>
      </c>
      <c r="D1821">
        <v>4.75</v>
      </c>
      <c r="E1821" s="4">
        <v>4.5</v>
      </c>
    </row>
    <row r="1822" spans="1:5" x14ac:dyDescent="0.35">
      <c r="A1822" s="1">
        <v>45286</v>
      </c>
      <c r="B1822" s="2">
        <v>45286</v>
      </c>
      <c r="C1822">
        <v>4</v>
      </c>
      <c r="D1822">
        <v>4.75</v>
      </c>
      <c r="E1822" s="4">
        <v>4.5</v>
      </c>
    </row>
    <row r="1823" spans="1:5" x14ac:dyDescent="0.35">
      <c r="A1823" s="1">
        <v>45287</v>
      </c>
      <c r="B1823" s="2">
        <v>45287</v>
      </c>
      <c r="C1823">
        <v>4</v>
      </c>
      <c r="D1823">
        <v>4.75</v>
      </c>
      <c r="E1823" s="4">
        <v>4.5</v>
      </c>
    </row>
    <row r="1824" spans="1:5" x14ac:dyDescent="0.35">
      <c r="A1824" s="1">
        <v>45288</v>
      </c>
      <c r="B1824" s="2">
        <v>45288</v>
      </c>
      <c r="C1824">
        <v>4</v>
      </c>
      <c r="D1824">
        <v>4.75</v>
      </c>
      <c r="E1824" s="4">
        <v>4.5</v>
      </c>
    </row>
    <row r="1825" spans="1:5" x14ac:dyDescent="0.35">
      <c r="A1825" s="1">
        <v>45289</v>
      </c>
      <c r="B1825" s="2">
        <v>45289</v>
      </c>
      <c r="C1825">
        <v>4</v>
      </c>
      <c r="D1825">
        <v>4.75</v>
      </c>
      <c r="E1825" s="4">
        <v>4.5</v>
      </c>
    </row>
    <row r="1826" spans="1:5" x14ac:dyDescent="0.35">
      <c r="A1826" s="1">
        <v>45290</v>
      </c>
      <c r="B1826" s="2">
        <v>45290</v>
      </c>
      <c r="C1826">
        <v>4</v>
      </c>
      <c r="D1826">
        <v>4.75</v>
      </c>
      <c r="E1826" s="4">
        <v>4.5</v>
      </c>
    </row>
    <row r="1827" spans="1:5" x14ac:dyDescent="0.35">
      <c r="A1827" s="1">
        <v>45291</v>
      </c>
      <c r="B1827" s="2">
        <v>45291</v>
      </c>
      <c r="C1827">
        <v>4</v>
      </c>
      <c r="D1827">
        <v>4.75</v>
      </c>
      <c r="E1827" s="4">
        <v>4.5</v>
      </c>
    </row>
    <row r="1828" spans="1:5" x14ac:dyDescent="0.35">
      <c r="A1828" s="1">
        <v>45292</v>
      </c>
      <c r="B1828" s="2">
        <v>45292</v>
      </c>
      <c r="C1828">
        <v>4</v>
      </c>
      <c r="D1828">
        <v>4.75</v>
      </c>
      <c r="E1828" s="4">
        <v>4.5</v>
      </c>
    </row>
    <row r="1829" spans="1:5" x14ac:dyDescent="0.35">
      <c r="A1829" s="1">
        <v>45293</v>
      </c>
      <c r="B1829" s="2">
        <v>45293</v>
      </c>
      <c r="C1829">
        <v>4</v>
      </c>
      <c r="D1829">
        <v>4.75</v>
      </c>
      <c r="E1829" s="4">
        <v>4.5</v>
      </c>
    </row>
    <row r="1830" spans="1:5" x14ac:dyDescent="0.35">
      <c r="A1830" s="1">
        <v>45294</v>
      </c>
      <c r="B1830" s="2">
        <v>45294</v>
      </c>
      <c r="C1830">
        <v>4</v>
      </c>
      <c r="D1830">
        <v>4.75</v>
      </c>
      <c r="E1830" s="4">
        <v>4.5</v>
      </c>
    </row>
    <row r="1831" spans="1:5" x14ac:dyDescent="0.35">
      <c r="A1831" s="1">
        <v>45295</v>
      </c>
      <c r="B1831" s="2">
        <v>45295</v>
      </c>
      <c r="C1831">
        <v>4</v>
      </c>
      <c r="D1831">
        <v>4.75</v>
      </c>
      <c r="E1831" s="4">
        <v>4.5</v>
      </c>
    </row>
    <row r="1832" spans="1:5" x14ac:dyDescent="0.35">
      <c r="A1832" s="1">
        <v>45296</v>
      </c>
      <c r="B1832" s="2">
        <v>45296</v>
      </c>
      <c r="C1832">
        <v>4</v>
      </c>
      <c r="D1832">
        <v>4.75</v>
      </c>
      <c r="E1832" s="4">
        <v>4.5</v>
      </c>
    </row>
    <row r="1833" spans="1:5" x14ac:dyDescent="0.35">
      <c r="A1833" s="1">
        <v>45297</v>
      </c>
      <c r="B1833" s="2">
        <v>45297</v>
      </c>
      <c r="C1833">
        <v>4</v>
      </c>
      <c r="D1833">
        <v>4.75</v>
      </c>
      <c r="E1833" s="4">
        <v>4.5</v>
      </c>
    </row>
    <row r="1834" spans="1:5" x14ac:dyDescent="0.35">
      <c r="A1834" s="1">
        <v>45298</v>
      </c>
      <c r="B1834" s="2">
        <v>45298</v>
      </c>
      <c r="C1834">
        <v>4</v>
      </c>
      <c r="D1834">
        <v>4.75</v>
      </c>
      <c r="E1834" s="4">
        <v>4.5</v>
      </c>
    </row>
    <row r="1835" spans="1:5" x14ac:dyDescent="0.35">
      <c r="A1835" s="1">
        <v>45299</v>
      </c>
      <c r="B1835" s="2">
        <v>45299</v>
      </c>
      <c r="C1835">
        <v>4</v>
      </c>
      <c r="D1835">
        <v>4.75</v>
      </c>
      <c r="E1835" s="4">
        <v>4.5</v>
      </c>
    </row>
    <row r="1836" spans="1:5" x14ac:dyDescent="0.35">
      <c r="A1836" s="1">
        <v>45300</v>
      </c>
      <c r="B1836" s="2">
        <v>45300</v>
      </c>
      <c r="C1836">
        <v>4</v>
      </c>
      <c r="D1836">
        <v>4.75</v>
      </c>
      <c r="E1836" s="4">
        <v>4.5</v>
      </c>
    </row>
    <row r="1837" spans="1:5" x14ac:dyDescent="0.35">
      <c r="A1837" s="1">
        <v>45301</v>
      </c>
      <c r="B1837" s="2">
        <v>45301</v>
      </c>
      <c r="C1837">
        <v>4</v>
      </c>
      <c r="D1837">
        <v>4.75</v>
      </c>
      <c r="E1837" s="4">
        <v>4.5</v>
      </c>
    </row>
    <row r="1838" spans="1:5" x14ac:dyDescent="0.35">
      <c r="A1838" s="1">
        <v>45302</v>
      </c>
      <c r="B1838" s="2">
        <v>45302</v>
      </c>
      <c r="C1838">
        <v>4</v>
      </c>
      <c r="D1838">
        <v>4.75</v>
      </c>
      <c r="E1838" s="4">
        <v>4.5</v>
      </c>
    </row>
    <row r="1839" spans="1:5" x14ac:dyDescent="0.35">
      <c r="A1839" s="1">
        <v>45303</v>
      </c>
      <c r="B1839" s="2">
        <v>45303</v>
      </c>
      <c r="C1839">
        <v>4</v>
      </c>
      <c r="D1839">
        <v>4.75</v>
      </c>
      <c r="E1839" s="4">
        <v>4.5</v>
      </c>
    </row>
    <row r="1840" spans="1:5" x14ac:dyDescent="0.35">
      <c r="A1840" s="1">
        <v>45304</v>
      </c>
      <c r="B1840" s="2">
        <v>45304</v>
      </c>
      <c r="C1840">
        <v>4</v>
      </c>
      <c r="D1840">
        <v>4.75</v>
      </c>
      <c r="E1840" s="4">
        <v>4.5</v>
      </c>
    </row>
    <row r="1841" spans="1:5" x14ac:dyDescent="0.35">
      <c r="A1841" s="1">
        <v>45305</v>
      </c>
      <c r="B1841" s="2">
        <v>45305</v>
      </c>
      <c r="C1841">
        <v>4</v>
      </c>
      <c r="D1841">
        <v>4.75</v>
      </c>
      <c r="E1841" s="4">
        <v>4.5</v>
      </c>
    </row>
    <row r="1842" spans="1:5" x14ac:dyDescent="0.35">
      <c r="A1842" s="1">
        <v>45306</v>
      </c>
      <c r="B1842" s="2">
        <v>45306</v>
      </c>
      <c r="C1842">
        <v>4</v>
      </c>
      <c r="D1842">
        <v>4.75</v>
      </c>
      <c r="E1842" s="4">
        <v>4.5</v>
      </c>
    </row>
    <row r="1843" spans="1:5" x14ac:dyDescent="0.35">
      <c r="A1843" s="1">
        <v>45307</v>
      </c>
      <c r="B1843" s="2">
        <v>45307</v>
      </c>
      <c r="C1843">
        <v>4</v>
      </c>
      <c r="D1843">
        <v>4.75</v>
      </c>
      <c r="E1843" s="4">
        <v>4.5</v>
      </c>
    </row>
    <row r="1844" spans="1:5" x14ac:dyDescent="0.35">
      <c r="A1844" s="1">
        <v>45308</v>
      </c>
      <c r="B1844" s="2">
        <v>45308</v>
      </c>
      <c r="C1844">
        <v>4</v>
      </c>
      <c r="D1844">
        <v>4.75</v>
      </c>
      <c r="E1844" s="4">
        <v>4.5</v>
      </c>
    </row>
    <row r="1845" spans="1:5" x14ac:dyDescent="0.35">
      <c r="A1845" s="1">
        <v>45309</v>
      </c>
      <c r="B1845" s="2">
        <v>45309</v>
      </c>
      <c r="C1845">
        <v>4</v>
      </c>
      <c r="D1845">
        <v>4.75</v>
      </c>
      <c r="E1845" s="4">
        <v>4.5</v>
      </c>
    </row>
    <row r="1846" spans="1:5" x14ac:dyDescent="0.35">
      <c r="A1846" s="1">
        <v>45310</v>
      </c>
      <c r="B1846" s="2">
        <v>45310</v>
      </c>
      <c r="C1846">
        <v>4</v>
      </c>
      <c r="D1846">
        <v>4.75</v>
      </c>
      <c r="E1846" s="4">
        <v>4.5</v>
      </c>
    </row>
    <row r="1847" spans="1:5" x14ac:dyDescent="0.35">
      <c r="A1847" s="1">
        <v>45311</v>
      </c>
      <c r="B1847" s="2">
        <v>45311</v>
      </c>
      <c r="C1847">
        <v>4</v>
      </c>
      <c r="D1847">
        <v>4.75</v>
      </c>
      <c r="E1847" s="4">
        <v>4.5</v>
      </c>
    </row>
    <row r="1848" spans="1:5" x14ac:dyDescent="0.35">
      <c r="A1848" s="1">
        <v>45312</v>
      </c>
      <c r="B1848" s="2">
        <v>45312</v>
      </c>
      <c r="C1848">
        <v>4</v>
      </c>
      <c r="D1848">
        <v>4.75</v>
      </c>
      <c r="E1848" s="4">
        <v>4.5</v>
      </c>
    </row>
    <row r="1849" spans="1:5" x14ac:dyDescent="0.35">
      <c r="A1849" s="1">
        <v>45313</v>
      </c>
      <c r="B1849" s="2">
        <v>45313</v>
      </c>
      <c r="C1849">
        <v>4</v>
      </c>
      <c r="D1849">
        <v>4.75</v>
      </c>
      <c r="E1849" s="4">
        <v>4.5</v>
      </c>
    </row>
    <row r="1850" spans="1:5" x14ac:dyDescent="0.35">
      <c r="A1850" s="1">
        <v>45314</v>
      </c>
      <c r="B1850" s="2">
        <v>45314</v>
      </c>
      <c r="C1850">
        <v>4</v>
      </c>
      <c r="D1850">
        <v>4.75</v>
      </c>
      <c r="E1850" s="4">
        <v>4.5</v>
      </c>
    </row>
    <row r="1851" spans="1:5" x14ac:dyDescent="0.35">
      <c r="A1851" s="1">
        <v>45315</v>
      </c>
      <c r="B1851" s="2">
        <v>45315</v>
      </c>
      <c r="C1851">
        <v>4</v>
      </c>
      <c r="D1851">
        <v>4.75</v>
      </c>
      <c r="E1851" s="4">
        <v>4.5</v>
      </c>
    </row>
    <row r="1852" spans="1:5" x14ac:dyDescent="0.35">
      <c r="A1852" s="1">
        <v>45316</v>
      </c>
      <c r="B1852" s="2">
        <v>45316</v>
      </c>
      <c r="C1852">
        <v>4</v>
      </c>
      <c r="D1852">
        <v>4.75</v>
      </c>
      <c r="E1852" s="4">
        <v>4.5</v>
      </c>
    </row>
    <row r="1853" spans="1:5" x14ac:dyDescent="0.35">
      <c r="A1853" s="1">
        <v>45317</v>
      </c>
      <c r="B1853" s="2">
        <v>45317</v>
      </c>
      <c r="C1853">
        <v>4</v>
      </c>
      <c r="D1853">
        <v>4.75</v>
      </c>
      <c r="E1853" s="4">
        <v>4.5</v>
      </c>
    </row>
    <row r="1854" spans="1:5" x14ac:dyDescent="0.35">
      <c r="A1854" s="1">
        <v>45318</v>
      </c>
      <c r="B1854" s="2">
        <v>45318</v>
      </c>
      <c r="C1854">
        <v>4</v>
      </c>
      <c r="D1854">
        <v>4.75</v>
      </c>
      <c r="E1854" s="4">
        <v>4.5</v>
      </c>
    </row>
    <row r="1855" spans="1:5" x14ac:dyDescent="0.35">
      <c r="A1855" s="1">
        <v>45319</v>
      </c>
      <c r="B1855" s="2">
        <v>45319</v>
      </c>
      <c r="C1855">
        <v>4</v>
      </c>
      <c r="D1855">
        <v>4.75</v>
      </c>
      <c r="E1855" s="4">
        <v>4.5</v>
      </c>
    </row>
    <row r="1856" spans="1:5" x14ac:dyDescent="0.35">
      <c r="A1856" s="1">
        <v>45320</v>
      </c>
      <c r="B1856" s="2">
        <v>45320</v>
      </c>
      <c r="C1856">
        <v>4</v>
      </c>
      <c r="D1856">
        <v>4.75</v>
      </c>
      <c r="E1856" s="4">
        <v>4.5</v>
      </c>
    </row>
    <row r="1857" spans="1:5" x14ac:dyDescent="0.35">
      <c r="A1857" s="1">
        <v>45321</v>
      </c>
      <c r="B1857" s="2">
        <v>45321</v>
      </c>
      <c r="C1857">
        <v>4</v>
      </c>
      <c r="D1857">
        <v>4.75</v>
      </c>
      <c r="E1857" s="4">
        <v>4.5</v>
      </c>
    </row>
    <row r="1858" spans="1:5" x14ac:dyDescent="0.35">
      <c r="A1858" s="1">
        <v>45322</v>
      </c>
      <c r="B1858" s="2">
        <v>45322</v>
      </c>
      <c r="C1858">
        <v>4</v>
      </c>
      <c r="D1858">
        <v>4.75</v>
      </c>
      <c r="E1858" s="4">
        <v>4.5</v>
      </c>
    </row>
    <row r="1859" spans="1:5" x14ac:dyDescent="0.35">
      <c r="A1859" s="1">
        <v>45323</v>
      </c>
      <c r="B1859" s="2">
        <v>45323</v>
      </c>
      <c r="C1859">
        <v>4</v>
      </c>
      <c r="D1859">
        <v>4.75</v>
      </c>
      <c r="E1859" s="4">
        <v>4.5</v>
      </c>
    </row>
    <row r="1860" spans="1:5" x14ac:dyDescent="0.35">
      <c r="A1860" s="1">
        <v>45324</v>
      </c>
      <c r="B1860" s="2">
        <v>45324</v>
      </c>
      <c r="C1860">
        <v>4</v>
      </c>
      <c r="D1860">
        <v>4.75</v>
      </c>
      <c r="E1860" s="4">
        <v>4.5</v>
      </c>
    </row>
    <row r="1861" spans="1:5" x14ac:dyDescent="0.35">
      <c r="A1861" s="1">
        <v>45325</v>
      </c>
      <c r="B1861" s="2">
        <v>45325</v>
      </c>
      <c r="C1861">
        <v>4</v>
      </c>
      <c r="D1861">
        <v>4.75</v>
      </c>
      <c r="E1861" s="4">
        <v>4.5</v>
      </c>
    </row>
    <row r="1862" spans="1:5" x14ac:dyDescent="0.35">
      <c r="A1862" s="1">
        <v>45326</v>
      </c>
      <c r="B1862" s="2">
        <v>45326</v>
      </c>
      <c r="C1862">
        <v>4</v>
      </c>
      <c r="D1862">
        <v>4.75</v>
      </c>
      <c r="E1862" s="4">
        <v>4.5</v>
      </c>
    </row>
    <row r="1863" spans="1:5" x14ac:dyDescent="0.35">
      <c r="A1863" s="1">
        <v>45327</v>
      </c>
      <c r="B1863" s="2">
        <v>45327</v>
      </c>
      <c r="C1863">
        <v>4</v>
      </c>
      <c r="D1863">
        <v>4.75</v>
      </c>
      <c r="E1863" s="4">
        <v>4.5</v>
      </c>
    </row>
    <row r="1864" spans="1:5" x14ac:dyDescent="0.35">
      <c r="A1864" s="1">
        <v>45328</v>
      </c>
      <c r="B1864" s="2">
        <v>45328</v>
      </c>
      <c r="C1864">
        <v>4</v>
      </c>
      <c r="D1864">
        <v>4.75</v>
      </c>
      <c r="E1864" s="4">
        <v>4.5</v>
      </c>
    </row>
    <row r="1865" spans="1:5" x14ac:dyDescent="0.35">
      <c r="A1865" s="1">
        <v>45329</v>
      </c>
      <c r="B1865" s="2">
        <v>45329</v>
      </c>
      <c r="C1865">
        <v>4</v>
      </c>
      <c r="D1865">
        <v>4.75</v>
      </c>
      <c r="E1865" s="4">
        <v>4.5</v>
      </c>
    </row>
    <row r="1866" spans="1:5" x14ac:dyDescent="0.35">
      <c r="A1866" s="1">
        <v>45330</v>
      </c>
      <c r="B1866" s="2">
        <v>45330</v>
      </c>
      <c r="C1866">
        <v>4</v>
      </c>
      <c r="D1866">
        <v>4.75</v>
      </c>
      <c r="E1866" s="4">
        <v>4.5</v>
      </c>
    </row>
    <row r="1867" spans="1:5" x14ac:dyDescent="0.35">
      <c r="A1867" s="1">
        <v>45331</v>
      </c>
      <c r="B1867" s="2">
        <v>45331</v>
      </c>
      <c r="C1867">
        <v>4</v>
      </c>
      <c r="D1867">
        <v>4.75</v>
      </c>
      <c r="E1867" s="4">
        <v>4.5</v>
      </c>
    </row>
    <row r="1868" spans="1:5" x14ac:dyDescent="0.35">
      <c r="A1868" s="1">
        <v>45332</v>
      </c>
      <c r="B1868" s="2">
        <v>45332</v>
      </c>
      <c r="C1868">
        <v>4</v>
      </c>
      <c r="D1868">
        <v>4.75</v>
      </c>
      <c r="E1868" s="4">
        <v>4.5</v>
      </c>
    </row>
    <row r="1869" spans="1:5" x14ac:dyDescent="0.35">
      <c r="A1869" s="1">
        <v>45333</v>
      </c>
      <c r="B1869" s="2">
        <v>45333</v>
      </c>
      <c r="C1869">
        <v>4</v>
      </c>
      <c r="D1869">
        <v>4.75</v>
      </c>
      <c r="E1869" s="4">
        <v>4.5</v>
      </c>
    </row>
    <row r="1870" spans="1:5" x14ac:dyDescent="0.35">
      <c r="A1870" s="1">
        <v>45334</v>
      </c>
      <c r="B1870" s="2">
        <v>45334</v>
      </c>
      <c r="C1870">
        <v>4</v>
      </c>
      <c r="D1870">
        <v>4.75</v>
      </c>
      <c r="E1870" s="4">
        <v>4.5</v>
      </c>
    </row>
    <row r="1871" spans="1:5" x14ac:dyDescent="0.35">
      <c r="A1871" s="1">
        <v>45335</v>
      </c>
      <c r="B1871" s="2">
        <v>45335</v>
      </c>
      <c r="C1871">
        <v>4</v>
      </c>
      <c r="D1871">
        <v>4.75</v>
      </c>
      <c r="E1871" s="4">
        <v>4.5</v>
      </c>
    </row>
    <row r="1872" spans="1:5" x14ac:dyDescent="0.35">
      <c r="A1872" s="1">
        <v>45336</v>
      </c>
      <c r="B1872" s="2">
        <v>45336</v>
      </c>
      <c r="C1872">
        <v>4</v>
      </c>
      <c r="D1872">
        <v>4.75</v>
      </c>
      <c r="E1872" s="4">
        <v>4.5</v>
      </c>
    </row>
    <row r="1873" spans="1:5" x14ac:dyDescent="0.35">
      <c r="A1873" s="1">
        <v>45337</v>
      </c>
      <c r="B1873" s="2">
        <v>45337</v>
      </c>
      <c r="C1873">
        <v>4</v>
      </c>
      <c r="D1873">
        <v>4.75</v>
      </c>
      <c r="E1873" s="4">
        <v>4.5</v>
      </c>
    </row>
    <row r="1874" spans="1:5" x14ac:dyDescent="0.35">
      <c r="A1874" s="1">
        <v>45338</v>
      </c>
      <c r="B1874" s="2">
        <v>45338</v>
      </c>
      <c r="C1874">
        <v>4</v>
      </c>
      <c r="D1874">
        <v>4.75</v>
      </c>
      <c r="E1874" s="4">
        <v>4.5</v>
      </c>
    </row>
    <row r="1875" spans="1:5" x14ac:dyDescent="0.35">
      <c r="A1875" s="1">
        <v>45339</v>
      </c>
      <c r="B1875" s="2">
        <v>45339</v>
      </c>
      <c r="C1875">
        <v>4</v>
      </c>
      <c r="D1875">
        <v>4.75</v>
      </c>
      <c r="E1875" s="4">
        <v>4.5</v>
      </c>
    </row>
    <row r="1876" spans="1:5" x14ac:dyDescent="0.35">
      <c r="A1876" s="1">
        <v>45340</v>
      </c>
      <c r="B1876" s="2">
        <v>45340</v>
      </c>
      <c r="C1876">
        <v>4</v>
      </c>
      <c r="D1876">
        <v>4.75</v>
      </c>
      <c r="E1876" s="4">
        <v>4.5</v>
      </c>
    </row>
    <row r="1877" spans="1:5" x14ac:dyDescent="0.35">
      <c r="A1877" s="1">
        <v>45341</v>
      </c>
      <c r="B1877" s="2">
        <v>45341</v>
      </c>
      <c r="C1877">
        <v>4</v>
      </c>
      <c r="D1877">
        <v>4.75</v>
      </c>
      <c r="E1877" s="4">
        <v>4.5</v>
      </c>
    </row>
    <row r="1878" spans="1:5" x14ac:dyDescent="0.35">
      <c r="A1878" s="1">
        <v>45342</v>
      </c>
      <c r="B1878" s="2">
        <v>45342</v>
      </c>
      <c r="C1878">
        <v>4</v>
      </c>
      <c r="D1878">
        <v>4.75</v>
      </c>
      <c r="E1878" s="4">
        <v>4.5</v>
      </c>
    </row>
    <row r="1879" spans="1:5" x14ac:dyDescent="0.35">
      <c r="A1879" s="1">
        <v>45343</v>
      </c>
      <c r="B1879" s="2">
        <v>45343</v>
      </c>
      <c r="C1879">
        <v>4</v>
      </c>
      <c r="D1879">
        <v>4.75</v>
      </c>
      <c r="E1879" s="4">
        <v>4.5</v>
      </c>
    </row>
    <row r="1880" spans="1:5" x14ac:dyDescent="0.35">
      <c r="A1880" s="1">
        <v>45344</v>
      </c>
      <c r="B1880" s="2">
        <v>45344</v>
      </c>
      <c r="C1880">
        <v>4</v>
      </c>
      <c r="D1880">
        <v>4.75</v>
      </c>
      <c r="E1880" s="4">
        <v>4.5</v>
      </c>
    </row>
    <row r="1881" spans="1:5" x14ac:dyDescent="0.35">
      <c r="A1881" s="1">
        <v>45345</v>
      </c>
      <c r="B1881" s="2">
        <v>45345</v>
      </c>
      <c r="C1881">
        <v>4</v>
      </c>
      <c r="D1881">
        <v>4.75</v>
      </c>
      <c r="E1881" s="4">
        <v>4.5</v>
      </c>
    </row>
    <row r="1882" spans="1:5" x14ac:dyDescent="0.35">
      <c r="A1882" s="1">
        <v>45346</v>
      </c>
      <c r="B1882" s="2">
        <v>45346</v>
      </c>
      <c r="C1882">
        <v>4</v>
      </c>
      <c r="D1882">
        <v>4.75</v>
      </c>
      <c r="E1882" s="4">
        <v>4.5</v>
      </c>
    </row>
    <row r="1883" spans="1:5" x14ac:dyDescent="0.35">
      <c r="A1883" s="1">
        <v>45347</v>
      </c>
      <c r="B1883" s="2">
        <v>45347</v>
      </c>
      <c r="C1883">
        <v>4</v>
      </c>
      <c r="D1883">
        <v>4.75</v>
      </c>
      <c r="E1883" s="4">
        <v>4.5</v>
      </c>
    </row>
    <row r="1884" spans="1:5" x14ac:dyDescent="0.35">
      <c r="A1884" s="1">
        <v>45348</v>
      </c>
      <c r="B1884" s="2">
        <v>45348</v>
      </c>
      <c r="C1884">
        <v>4</v>
      </c>
      <c r="D1884">
        <v>4.75</v>
      </c>
      <c r="E1884" s="4">
        <v>4.5</v>
      </c>
    </row>
    <row r="1885" spans="1:5" x14ac:dyDescent="0.35">
      <c r="A1885" s="1">
        <v>45349</v>
      </c>
      <c r="B1885" s="2">
        <v>45349</v>
      </c>
      <c r="C1885">
        <v>4</v>
      </c>
      <c r="D1885">
        <v>4.75</v>
      </c>
      <c r="E1885" s="4">
        <v>4.5</v>
      </c>
    </row>
    <row r="1886" spans="1:5" x14ac:dyDescent="0.35">
      <c r="A1886" s="1">
        <v>45350</v>
      </c>
      <c r="B1886" s="2">
        <v>45350</v>
      </c>
      <c r="C1886">
        <v>4</v>
      </c>
      <c r="D1886">
        <v>4.75</v>
      </c>
      <c r="E1886" s="4">
        <v>4.5</v>
      </c>
    </row>
    <row r="1887" spans="1:5" x14ac:dyDescent="0.35">
      <c r="A1887" s="1">
        <v>45351</v>
      </c>
      <c r="B1887" s="2">
        <v>45351</v>
      </c>
      <c r="C1887">
        <v>4</v>
      </c>
      <c r="D1887">
        <v>4.75</v>
      </c>
      <c r="E1887" s="4">
        <v>4.5</v>
      </c>
    </row>
    <row r="1888" spans="1:5" x14ac:dyDescent="0.35">
      <c r="A1888" s="1">
        <v>45352</v>
      </c>
      <c r="B1888" s="2">
        <v>45352</v>
      </c>
      <c r="C1888">
        <v>4</v>
      </c>
      <c r="D1888">
        <v>4.75</v>
      </c>
      <c r="E1888" s="4">
        <v>4.5</v>
      </c>
    </row>
    <row r="1889" spans="1:5" x14ac:dyDescent="0.35">
      <c r="A1889" s="1">
        <v>45353</v>
      </c>
      <c r="B1889" s="2">
        <v>45353</v>
      </c>
      <c r="C1889">
        <v>4</v>
      </c>
      <c r="D1889">
        <v>4.75</v>
      </c>
      <c r="E1889" s="4">
        <v>4.5</v>
      </c>
    </row>
    <row r="1890" spans="1:5" x14ac:dyDescent="0.35">
      <c r="A1890" s="1">
        <v>45354</v>
      </c>
      <c r="B1890" s="2">
        <v>45354</v>
      </c>
      <c r="C1890">
        <v>4</v>
      </c>
      <c r="D1890">
        <v>4.75</v>
      </c>
      <c r="E1890" s="4">
        <v>4.5</v>
      </c>
    </row>
    <row r="1891" spans="1:5" x14ac:dyDescent="0.35">
      <c r="A1891" s="1">
        <v>45355</v>
      </c>
      <c r="B1891" s="2">
        <v>45355</v>
      </c>
      <c r="C1891">
        <v>4</v>
      </c>
      <c r="D1891">
        <v>4.75</v>
      </c>
      <c r="E1891" s="4">
        <v>4.5</v>
      </c>
    </row>
    <row r="1892" spans="1:5" x14ac:dyDescent="0.35">
      <c r="A1892" s="1">
        <v>45356</v>
      </c>
      <c r="B1892" s="2">
        <v>45356</v>
      </c>
      <c r="C1892">
        <v>4</v>
      </c>
      <c r="D1892">
        <v>4.75</v>
      </c>
      <c r="E1892" s="4">
        <v>4.5</v>
      </c>
    </row>
    <row r="1893" spans="1:5" x14ac:dyDescent="0.35">
      <c r="A1893" s="1">
        <v>45357</v>
      </c>
      <c r="B1893" s="2">
        <v>45357</v>
      </c>
      <c r="C1893">
        <v>4</v>
      </c>
      <c r="D1893">
        <v>4.75</v>
      </c>
      <c r="E1893" s="4">
        <v>4.5</v>
      </c>
    </row>
    <row r="1894" spans="1:5" x14ac:dyDescent="0.35">
      <c r="A1894" s="1">
        <v>45358</v>
      </c>
      <c r="B1894" s="2">
        <v>45358</v>
      </c>
      <c r="C1894">
        <v>4</v>
      </c>
      <c r="D1894">
        <v>4.75</v>
      </c>
      <c r="E1894" s="4">
        <v>4.5</v>
      </c>
    </row>
    <row r="1895" spans="1:5" x14ac:dyDescent="0.35">
      <c r="A1895" s="1">
        <v>45359</v>
      </c>
      <c r="B1895" s="2">
        <v>45359</v>
      </c>
      <c r="C1895">
        <v>4</v>
      </c>
      <c r="D1895">
        <v>4.75</v>
      </c>
      <c r="E1895" s="4">
        <v>4.5</v>
      </c>
    </row>
    <row r="1896" spans="1:5" x14ac:dyDescent="0.35">
      <c r="A1896" s="1">
        <v>45360</v>
      </c>
      <c r="B1896" s="2">
        <v>45360</v>
      </c>
      <c r="C1896">
        <v>4</v>
      </c>
      <c r="D1896">
        <v>4.75</v>
      </c>
      <c r="E1896" s="4">
        <v>4.5</v>
      </c>
    </row>
    <row r="1897" spans="1:5" x14ac:dyDescent="0.35">
      <c r="A1897" s="1">
        <v>45361</v>
      </c>
      <c r="B1897" s="2">
        <v>45361</v>
      </c>
      <c r="C1897">
        <v>4</v>
      </c>
      <c r="D1897">
        <v>4.75</v>
      </c>
      <c r="E1897" s="4">
        <v>4.5</v>
      </c>
    </row>
    <row r="1898" spans="1:5" x14ac:dyDescent="0.35">
      <c r="A1898" s="1">
        <v>45362</v>
      </c>
      <c r="B1898" s="2">
        <v>45362</v>
      </c>
      <c r="C1898">
        <v>4</v>
      </c>
      <c r="D1898">
        <v>4.75</v>
      </c>
      <c r="E1898" s="4">
        <v>4.5</v>
      </c>
    </row>
    <row r="1899" spans="1:5" x14ac:dyDescent="0.35">
      <c r="A1899" s="1">
        <v>45363</v>
      </c>
      <c r="B1899" s="2">
        <v>45363</v>
      </c>
      <c r="C1899">
        <v>4</v>
      </c>
      <c r="D1899">
        <v>4.75</v>
      </c>
      <c r="E1899" s="4">
        <v>4.5</v>
      </c>
    </row>
    <row r="1900" spans="1:5" x14ac:dyDescent="0.35">
      <c r="A1900" s="1">
        <v>45364</v>
      </c>
      <c r="B1900" s="2">
        <v>45364</v>
      </c>
      <c r="C1900">
        <v>4</v>
      </c>
      <c r="D1900">
        <v>4.75</v>
      </c>
      <c r="E1900" s="4">
        <v>4.5</v>
      </c>
    </row>
    <row r="1901" spans="1:5" x14ac:dyDescent="0.35">
      <c r="A1901" s="1">
        <v>45365</v>
      </c>
      <c r="B1901" s="2">
        <v>45365</v>
      </c>
      <c r="C1901">
        <v>4</v>
      </c>
      <c r="D1901">
        <v>4.75</v>
      </c>
      <c r="E1901" s="4">
        <v>4.5</v>
      </c>
    </row>
    <row r="1902" spans="1:5" x14ac:dyDescent="0.35">
      <c r="A1902" s="1">
        <v>45366</v>
      </c>
      <c r="B1902" s="2">
        <v>45366</v>
      </c>
      <c r="C1902">
        <v>4</v>
      </c>
      <c r="D1902">
        <v>4.75</v>
      </c>
      <c r="E1902" s="4">
        <v>4.5</v>
      </c>
    </row>
    <row r="1903" spans="1:5" x14ac:dyDescent="0.35">
      <c r="A1903" s="1">
        <v>45367</v>
      </c>
      <c r="B1903" s="2">
        <v>45367</v>
      </c>
      <c r="C1903">
        <v>4</v>
      </c>
      <c r="D1903">
        <v>4.75</v>
      </c>
      <c r="E1903" s="4">
        <v>4.5</v>
      </c>
    </row>
    <row r="1904" spans="1:5" x14ac:dyDescent="0.35">
      <c r="A1904" s="1">
        <v>45368</v>
      </c>
      <c r="B1904" s="2">
        <v>45368</v>
      </c>
      <c r="C1904">
        <v>4</v>
      </c>
      <c r="D1904">
        <v>4.75</v>
      </c>
      <c r="E1904" s="4">
        <v>4.5</v>
      </c>
    </row>
    <row r="1905" spans="1:5" x14ac:dyDescent="0.35">
      <c r="A1905" s="1">
        <v>45369</v>
      </c>
      <c r="B1905" s="2">
        <v>45369</v>
      </c>
      <c r="C1905">
        <v>4</v>
      </c>
      <c r="D1905">
        <v>4.75</v>
      </c>
      <c r="E1905" s="4">
        <v>4.5</v>
      </c>
    </row>
    <row r="1906" spans="1:5" x14ac:dyDescent="0.35">
      <c r="A1906" s="1">
        <v>45370</v>
      </c>
      <c r="B1906" s="2">
        <v>45370</v>
      </c>
      <c r="C1906">
        <v>4</v>
      </c>
      <c r="D1906">
        <v>4.75</v>
      </c>
      <c r="E1906" s="4">
        <v>4.5</v>
      </c>
    </row>
    <row r="1907" spans="1:5" x14ac:dyDescent="0.35">
      <c r="A1907" s="1">
        <v>45371</v>
      </c>
      <c r="B1907" s="2">
        <v>45371</v>
      </c>
      <c r="C1907">
        <v>4</v>
      </c>
      <c r="D1907">
        <v>4.75</v>
      </c>
      <c r="E1907" s="4">
        <v>4.5</v>
      </c>
    </row>
    <row r="1908" spans="1:5" x14ac:dyDescent="0.35">
      <c r="A1908" s="1">
        <v>45372</v>
      </c>
      <c r="B1908" s="2">
        <v>45372</v>
      </c>
      <c r="C1908">
        <v>4</v>
      </c>
      <c r="D1908">
        <v>4.75</v>
      </c>
      <c r="E1908" s="4">
        <v>4.5</v>
      </c>
    </row>
    <row r="1909" spans="1:5" x14ac:dyDescent="0.35">
      <c r="A1909" s="1">
        <v>45373</v>
      </c>
      <c r="B1909" s="2">
        <v>45373</v>
      </c>
      <c r="C1909">
        <v>4</v>
      </c>
      <c r="D1909">
        <v>4.75</v>
      </c>
      <c r="E1909" s="4">
        <v>4.5</v>
      </c>
    </row>
    <row r="1910" spans="1:5" x14ac:dyDescent="0.35">
      <c r="A1910" s="1">
        <v>45374</v>
      </c>
      <c r="B1910" s="2">
        <v>45374</v>
      </c>
      <c r="C1910">
        <v>4</v>
      </c>
      <c r="D1910">
        <v>4.75</v>
      </c>
      <c r="E1910" s="4">
        <v>4.5</v>
      </c>
    </row>
    <row r="1911" spans="1:5" x14ac:dyDescent="0.35">
      <c r="A1911" s="1">
        <v>45375</v>
      </c>
      <c r="B1911" s="2">
        <v>45375</v>
      </c>
      <c r="C1911">
        <v>4</v>
      </c>
      <c r="D1911">
        <v>4.75</v>
      </c>
      <c r="E1911" s="4">
        <v>4.5</v>
      </c>
    </row>
    <row r="1912" spans="1:5" x14ac:dyDescent="0.35">
      <c r="A1912" s="1">
        <v>45376</v>
      </c>
      <c r="B1912" s="2">
        <v>45376</v>
      </c>
      <c r="C1912">
        <v>4</v>
      </c>
      <c r="D1912">
        <v>4.75</v>
      </c>
      <c r="E1912" s="4">
        <v>4.5</v>
      </c>
    </row>
    <row r="1913" spans="1:5" x14ac:dyDescent="0.35">
      <c r="A1913" s="1">
        <v>45377</v>
      </c>
      <c r="B1913" s="2">
        <v>45377</v>
      </c>
      <c r="C1913">
        <v>4</v>
      </c>
      <c r="D1913">
        <v>4.75</v>
      </c>
      <c r="E1913" s="4">
        <v>4.5</v>
      </c>
    </row>
    <row r="1914" spans="1:5" x14ac:dyDescent="0.35">
      <c r="A1914" s="1">
        <v>45378</v>
      </c>
      <c r="B1914" s="2">
        <v>45378</v>
      </c>
      <c r="C1914">
        <v>4</v>
      </c>
      <c r="D1914">
        <v>4.75</v>
      </c>
      <c r="E1914" s="4">
        <v>4.5</v>
      </c>
    </row>
    <row r="1915" spans="1:5" x14ac:dyDescent="0.35">
      <c r="A1915" s="1">
        <v>45379</v>
      </c>
      <c r="B1915" s="2">
        <v>45379</v>
      </c>
      <c r="C1915">
        <v>4</v>
      </c>
      <c r="D1915">
        <v>4.75</v>
      </c>
      <c r="E1915" s="4">
        <v>4.5</v>
      </c>
    </row>
    <row r="1916" spans="1:5" x14ac:dyDescent="0.35">
      <c r="A1916" s="1">
        <v>45380</v>
      </c>
      <c r="B1916" s="2">
        <v>45380</v>
      </c>
      <c r="C1916">
        <v>4</v>
      </c>
      <c r="D1916">
        <v>4.75</v>
      </c>
      <c r="E1916" s="4">
        <v>4.5</v>
      </c>
    </row>
    <row r="1917" spans="1:5" x14ac:dyDescent="0.35">
      <c r="A1917" s="1">
        <v>45381</v>
      </c>
      <c r="B1917" s="2">
        <v>45381</v>
      </c>
      <c r="C1917">
        <v>4</v>
      </c>
      <c r="D1917">
        <v>4.75</v>
      </c>
      <c r="E1917" s="4">
        <v>4.5</v>
      </c>
    </row>
    <row r="1918" spans="1:5" x14ac:dyDescent="0.35">
      <c r="A1918" s="1">
        <v>45382</v>
      </c>
      <c r="B1918" s="2">
        <v>45382</v>
      </c>
      <c r="C1918">
        <v>4</v>
      </c>
      <c r="D1918">
        <v>4.75</v>
      </c>
      <c r="E1918" s="4">
        <v>4.5</v>
      </c>
    </row>
    <row r="1919" spans="1:5" x14ac:dyDescent="0.35">
      <c r="A1919" s="1">
        <v>45383</v>
      </c>
      <c r="B1919" s="2">
        <v>45383</v>
      </c>
      <c r="C1919">
        <v>4</v>
      </c>
      <c r="D1919">
        <v>4.75</v>
      </c>
      <c r="E1919" s="4">
        <v>4.5</v>
      </c>
    </row>
    <row r="1920" spans="1:5" x14ac:dyDescent="0.35">
      <c r="A1920" s="1">
        <v>45384</v>
      </c>
      <c r="B1920" s="2">
        <v>45384</v>
      </c>
      <c r="C1920">
        <v>4</v>
      </c>
      <c r="D1920">
        <v>4.75</v>
      </c>
      <c r="E1920" s="4">
        <v>4.5</v>
      </c>
    </row>
    <row r="1921" spans="1:5" x14ac:dyDescent="0.35">
      <c r="A1921" s="1">
        <v>45385</v>
      </c>
      <c r="B1921" s="2">
        <v>45385</v>
      </c>
      <c r="C1921">
        <v>4</v>
      </c>
      <c r="D1921">
        <v>4.75</v>
      </c>
      <c r="E1921" s="4">
        <v>4.5</v>
      </c>
    </row>
    <row r="1922" spans="1:5" x14ac:dyDescent="0.35">
      <c r="A1922" s="1">
        <v>45386</v>
      </c>
      <c r="B1922" s="2">
        <v>45386</v>
      </c>
      <c r="C1922">
        <v>4</v>
      </c>
      <c r="D1922">
        <v>4.75</v>
      </c>
      <c r="E1922" s="4">
        <v>4.5</v>
      </c>
    </row>
    <row r="1923" spans="1:5" x14ac:dyDescent="0.35">
      <c r="A1923" s="1">
        <v>45387</v>
      </c>
      <c r="B1923" s="2">
        <v>45387</v>
      </c>
      <c r="C1923">
        <v>4</v>
      </c>
      <c r="D1923">
        <v>4.75</v>
      </c>
      <c r="E1923" s="4">
        <v>4.5</v>
      </c>
    </row>
    <row r="1924" spans="1:5" x14ac:dyDescent="0.35">
      <c r="A1924" s="1">
        <v>45388</v>
      </c>
      <c r="B1924" s="2">
        <v>45388</v>
      </c>
      <c r="C1924">
        <v>4</v>
      </c>
      <c r="D1924">
        <v>4.75</v>
      </c>
      <c r="E1924" s="4">
        <v>4.5</v>
      </c>
    </row>
    <row r="1925" spans="1:5" x14ac:dyDescent="0.35">
      <c r="A1925" s="1">
        <v>45389</v>
      </c>
      <c r="B1925" s="2">
        <v>45389</v>
      </c>
      <c r="C1925">
        <v>4</v>
      </c>
      <c r="D1925">
        <v>4.75</v>
      </c>
      <c r="E1925" s="4">
        <v>4.5</v>
      </c>
    </row>
    <row r="1926" spans="1:5" x14ac:dyDescent="0.35">
      <c r="A1926" s="1">
        <v>45390</v>
      </c>
      <c r="B1926" s="2">
        <v>45390</v>
      </c>
      <c r="C1926">
        <v>4</v>
      </c>
      <c r="D1926">
        <v>4.75</v>
      </c>
      <c r="E1926" s="4">
        <v>4.5</v>
      </c>
    </row>
    <row r="1927" spans="1:5" x14ac:dyDescent="0.35">
      <c r="A1927" s="1">
        <v>45391</v>
      </c>
      <c r="B1927" s="2">
        <v>45391</v>
      </c>
      <c r="C1927">
        <v>4</v>
      </c>
      <c r="D1927">
        <v>4.75</v>
      </c>
      <c r="E1927" s="4">
        <v>4.5</v>
      </c>
    </row>
    <row r="1928" spans="1:5" x14ac:dyDescent="0.35">
      <c r="A1928" s="1">
        <v>45392</v>
      </c>
      <c r="B1928" s="2">
        <v>45392</v>
      </c>
      <c r="C1928">
        <v>4</v>
      </c>
      <c r="D1928">
        <v>4.75</v>
      </c>
      <c r="E1928" s="4">
        <v>4.5</v>
      </c>
    </row>
    <row r="1929" spans="1:5" x14ac:dyDescent="0.35">
      <c r="A1929" s="1">
        <v>45393</v>
      </c>
      <c r="B1929" s="2">
        <v>45393</v>
      </c>
      <c r="C1929">
        <v>4</v>
      </c>
      <c r="D1929">
        <v>4.75</v>
      </c>
      <c r="E1929" s="4">
        <v>4.5</v>
      </c>
    </row>
    <row r="1930" spans="1:5" x14ac:dyDescent="0.35">
      <c r="A1930" s="1">
        <v>45394</v>
      </c>
      <c r="B1930" s="2">
        <v>45394</v>
      </c>
      <c r="C1930">
        <v>4</v>
      </c>
      <c r="D1930">
        <v>4.75</v>
      </c>
      <c r="E1930" s="4">
        <v>4.5</v>
      </c>
    </row>
    <row r="1931" spans="1:5" x14ac:dyDescent="0.35">
      <c r="A1931" s="1">
        <v>45395</v>
      </c>
      <c r="B1931" s="2">
        <v>45395</v>
      </c>
      <c r="C1931">
        <v>4</v>
      </c>
      <c r="D1931">
        <v>4.75</v>
      </c>
      <c r="E1931" s="4">
        <v>4.5</v>
      </c>
    </row>
    <row r="1932" spans="1:5" x14ac:dyDescent="0.35">
      <c r="A1932" s="1">
        <v>45396</v>
      </c>
      <c r="B1932" s="2">
        <v>45396</v>
      </c>
      <c r="C1932">
        <v>4</v>
      </c>
      <c r="D1932">
        <v>4.75</v>
      </c>
      <c r="E1932" s="4">
        <v>4.5</v>
      </c>
    </row>
    <row r="1933" spans="1:5" x14ac:dyDescent="0.35">
      <c r="A1933" s="1">
        <v>45397</v>
      </c>
      <c r="B1933" s="2">
        <v>45397</v>
      </c>
      <c r="C1933">
        <v>4</v>
      </c>
      <c r="D1933">
        <v>4.75</v>
      </c>
      <c r="E1933" s="4">
        <v>4.5</v>
      </c>
    </row>
    <row r="1934" spans="1:5" x14ac:dyDescent="0.35">
      <c r="A1934" s="1">
        <v>45398</v>
      </c>
      <c r="B1934" s="2">
        <v>45398</v>
      </c>
      <c r="C1934">
        <v>4</v>
      </c>
      <c r="D1934">
        <v>4.75</v>
      </c>
      <c r="E1934" s="4">
        <v>4.5</v>
      </c>
    </row>
    <row r="1935" spans="1:5" x14ac:dyDescent="0.35">
      <c r="A1935" s="1">
        <v>45399</v>
      </c>
      <c r="B1935" s="2">
        <v>45399</v>
      </c>
      <c r="C1935">
        <v>4</v>
      </c>
      <c r="D1935">
        <v>4.75</v>
      </c>
      <c r="E1935" s="4">
        <v>4.5</v>
      </c>
    </row>
    <row r="1936" spans="1:5" x14ac:dyDescent="0.35">
      <c r="A1936" s="1">
        <v>45400</v>
      </c>
      <c r="B1936" s="2">
        <v>45400</v>
      </c>
      <c r="C1936">
        <v>4</v>
      </c>
      <c r="D1936">
        <v>4.75</v>
      </c>
      <c r="E1936" s="4">
        <v>4.5</v>
      </c>
    </row>
    <row r="1937" spans="1:5" x14ac:dyDescent="0.35">
      <c r="A1937" s="1">
        <v>45401</v>
      </c>
      <c r="B1937" s="2">
        <v>45401</v>
      </c>
      <c r="C1937">
        <v>4</v>
      </c>
      <c r="D1937">
        <v>4.75</v>
      </c>
      <c r="E1937" s="4">
        <v>4.5</v>
      </c>
    </row>
    <row r="1938" spans="1:5" x14ac:dyDescent="0.35">
      <c r="A1938" s="1">
        <v>45402</v>
      </c>
      <c r="B1938" s="2">
        <v>45402</v>
      </c>
      <c r="C1938">
        <v>4</v>
      </c>
      <c r="D1938">
        <v>4.75</v>
      </c>
      <c r="E1938" s="4">
        <v>4.5</v>
      </c>
    </row>
    <row r="1939" spans="1:5" x14ac:dyDescent="0.35">
      <c r="A1939" s="1">
        <v>45403</v>
      </c>
      <c r="B1939" s="2">
        <v>45403</v>
      </c>
      <c r="C1939">
        <v>4</v>
      </c>
      <c r="D1939">
        <v>4.75</v>
      </c>
      <c r="E1939" s="4">
        <v>4.5</v>
      </c>
    </row>
    <row r="1940" spans="1:5" x14ac:dyDescent="0.35">
      <c r="A1940" s="1">
        <v>45404</v>
      </c>
      <c r="B1940" s="2">
        <v>45404</v>
      </c>
      <c r="C1940">
        <v>4</v>
      </c>
      <c r="D1940">
        <v>4.75</v>
      </c>
      <c r="E1940" s="4">
        <v>4.5</v>
      </c>
    </row>
    <row r="1941" spans="1:5" x14ac:dyDescent="0.35">
      <c r="A1941" s="1">
        <v>45405</v>
      </c>
      <c r="B1941" s="2">
        <v>45405</v>
      </c>
      <c r="C1941">
        <v>4</v>
      </c>
      <c r="D1941">
        <v>4.75</v>
      </c>
      <c r="E1941" s="4">
        <v>4.5</v>
      </c>
    </row>
    <row r="1942" spans="1:5" x14ac:dyDescent="0.35">
      <c r="A1942" s="1">
        <v>45406</v>
      </c>
      <c r="B1942" s="2">
        <v>45406</v>
      </c>
      <c r="C1942">
        <v>4</v>
      </c>
      <c r="D1942">
        <v>4.75</v>
      </c>
      <c r="E1942" s="4">
        <v>4.5</v>
      </c>
    </row>
    <row r="1943" spans="1:5" x14ac:dyDescent="0.35">
      <c r="A1943" s="1">
        <v>45407</v>
      </c>
      <c r="B1943" s="2">
        <v>45407</v>
      </c>
      <c r="C1943">
        <v>4</v>
      </c>
      <c r="D1943">
        <v>4.75</v>
      </c>
      <c r="E1943" s="4">
        <v>4.5</v>
      </c>
    </row>
    <row r="1944" spans="1:5" x14ac:dyDescent="0.35">
      <c r="A1944" s="1">
        <v>45408</v>
      </c>
      <c r="B1944" s="2">
        <v>45408</v>
      </c>
      <c r="C1944">
        <v>4</v>
      </c>
      <c r="D1944">
        <v>4.75</v>
      </c>
      <c r="E1944" s="4">
        <v>4.5</v>
      </c>
    </row>
    <row r="1945" spans="1:5" x14ac:dyDescent="0.35">
      <c r="A1945" s="1">
        <v>45409</v>
      </c>
      <c r="B1945" s="2">
        <v>45409</v>
      </c>
      <c r="C1945">
        <v>4</v>
      </c>
      <c r="D1945">
        <v>4.75</v>
      </c>
      <c r="E1945" s="4">
        <v>4.5</v>
      </c>
    </row>
    <row r="1946" spans="1:5" x14ac:dyDescent="0.35">
      <c r="A1946" s="1">
        <v>45410</v>
      </c>
      <c r="B1946" s="2">
        <v>45410</v>
      </c>
      <c r="C1946">
        <v>4</v>
      </c>
      <c r="D1946">
        <v>4.75</v>
      </c>
      <c r="E1946" s="4">
        <v>4.5</v>
      </c>
    </row>
    <row r="1947" spans="1:5" x14ac:dyDescent="0.35">
      <c r="A1947" s="1">
        <v>45411</v>
      </c>
      <c r="B1947" s="2">
        <v>45411</v>
      </c>
      <c r="C1947">
        <v>4</v>
      </c>
      <c r="D1947">
        <v>4.75</v>
      </c>
      <c r="E1947" s="4">
        <v>4.5</v>
      </c>
    </row>
    <row r="1948" spans="1:5" x14ac:dyDescent="0.35">
      <c r="A1948" s="1">
        <v>45412</v>
      </c>
      <c r="B1948" s="2">
        <v>45412</v>
      </c>
      <c r="C1948">
        <v>4</v>
      </c>
      <c r="D1948">
        <v>4.75</v>
      </c>
      <c r="E1948" s="4">
        <v>4.5</v>
      </c>
    </row>
    <row r="1949" spans="1:5" x14ac:dyDescent="0.35">
      <c r="A1949" s="1">
        <v>45413</v>
      </c>
      <c r="B1949" s="2">
        <v>45413</v>
      </c>
      <c r="C1949">
        <v>4</v>
      </c>
      <c r="D1949">
        <v>4.75</v>
      </c>
      <c r="E1949" s="4">
        <v>4.5</v>
      </c>
    </row>
    <row r="1950" spans="1:5" x14ac:dyDescent="0.35">
      <c r="A1950" s="1">
        <v>45414</v>
      </c>
      <c r="B1950" s="2">
        <v>45414</v>
      </c>
      <c r="C1950">
        <v>4</v>
      </c>
      <c r="D1950">
        <v>4.75</v>
      </c>
      <c r="E1950" s="4">
        <v>4.5</v>
      </c>
    </row>
    <row r="1951" spans="1:5" x14ac:dyDescent="0.35">
      <c r="A1951" s="1">
        <v>45415</v>
      </c>
      <c r="B1951" s="2">
        <v>45415</v>
      </c>
      <c r="C1951">
        <v>4</v>
      </c>
      <c r="D1951">
        <v>4.75</v>
      </c>
      <c r="E1951" s="4">
        <v>4.5</v>
      </c>
    </row>
    <row r="1952" spans="1:5" x14ac:dyDescent="0.35">
      <c r="A1952" s="1">
        <v>45416</v>
      </c>
      <c r="B1952" s="2">
        <v>45416</v>
      </c>
      <c r="C1952">
        <v>4</v>
      </c>
      <c r="D1952">
        <v>4.75</v>
      </c>
      <c r="E1952" s="4">
        <v>4.5</v>
      </c>
    </row>
    <row r="1953" spans="1:5" x14ac:dyDescent="0.35">
      <c r="A1953" s="1">
        <v>45417</v>
      </c>
      <c r="B1953" s="2">
        <v>45417</v>
      </c>
      <c r="C1953">
        <v>4</v>
      </c>
      <c r="D1953">
        <v>4.75</v>
      </c>
      <c r="E1953" s="4">
        <v>4.5</v>
      </c>
    </row>
    <row r="1954" spans="1:5" x14ac:dyDescent="0.35">
      <c r="A1954" s="1">
        <v>45418</v>
      </c>
      <c r="B1954" s="2">
        <v>45418</v>
      </c>
      <c r="C1954">
        <v>4</v>
      </c>
      <c r="D1954">
        <v>4.75</v>
      </c>
      <c r="E1954" s="4">
        <v>4.5</v>
      </c>
    </row>
    <row r="1955" spans="1:5" x14ac:dyDescent="0.35">
      <c r="A1955" s="1">
        <v>45419</v>
      </c>
      <c r="B1955" s="2">
        <v>45419</v>
      </c>
      <c r="C1955">
        <v>4</v>
      </c>
      <c r="D1955">
        <v>4.75</v>
      </c>
      <c r="E1955" s="4">
        <v>4.5</v>
      </c>
    </row>
    <row r="1956" spans="1:5" x14ac:dyDescent="0.35">
      <c r="A1956" s="1">
        <v>45420</v>
      </c>
      <c r="B1956" s="2">
        <v>45420</v>
      </c>
      <c r="C1956">
        <v>4</v>
      </c>
      <c r="D1956">
        <v>4.75</v>
      </c>
      <c r="E1956" s="4">
        <v>4.5</v>
      </c>
    </row>
    <row r="1957" spans="1:5" x14ac:dyDescent="0.35">
      <c r="A1957" s="1">
        <v>45421</v>
      </c>
      <c r="B1957" s="2">
        <v>45421</v>
      </c>
      <c r="C1957">
        <v>4</v>
      </c>
      <c r="D1957">
        <v>4.75</v>
      </c>
      <c r="E1957" s="4">
        <v>4.5</v>
      </c>
    </row>
    <row r="1958" spans="1:5" x14ac:dyDescent="0.35">
      <c r="A1958" s="1">
        <v>45422</v>
      </c>
      <c r="B1958" s="2">
        <v>45422</v>
      </c>
      <c r="C1958">
        <v>4</v>
      </c>
      <c r="D1958">
        <v>4.75</v>
      </c>
      <c r="E1958" s="4">
        <v>4.5</v>
      </c>
    </row>
    <row r="1959" spans="1:5" x14ac:dyDescent="0.35">
      <c r="A1959" s="1">
        <v>45423</v>
      </c>
      <c r="B1959" s="2">
        <v>45423</v>
      </c>
      <c r="C1959">
        <v>4</v>
      </c>
      <c r="D1959">
        <v>4.75</v>
      </c>
      <c r="E1959" s="4">
        <v>4.5</v>
      </c>
    </row>
    <row r="1960" spans="1:5" x14ac:dyDescent="0.35">
      <c r="A1960" s="1">
        <v>45424</v>
      </c>
      <c r="B1960" s="2">
        <v>45424</v>
      </c>
      <c r="C1960">
        <v>4</v>
      </c>
      <c r="D1960">
        <v>4.75</v>
      </c>
      <c r="E1960" s="4">
        <v>4.5</v>
      </c>
    </row>
    <row r="1961" spans="1:5" x14ac:dyDescent="0.35">
      <c r="A1961" s="1">
        <v>45425</v>
      </c>
      <c r="B1961" s="2">
        <v>45425</v>
      </c>
      <c r="C1961">
        <v>4</v>
      </c>
      <c r="D1961">
        <v>4.75</v>
      </c>
      <c r="E1961" s="4">
        <v>4.5</v>
      </c>
    </row>
    <row r="1962" spans="1:5" x14ac:dyDescent="0.35">
      <c r="A1962" s="1">
        <v>45426</v>
      </c>
      <c r="B1962" s="2">
        <v>45426</v>
      </c>
      <c r="C1962">
        <v>4</v>
      </c>
      <c r="D1962">
        <v>4.75</v>
      </c>
      <c r="E1962" s="4">
        <v>4.5</v>
      </c>
    </row>
    <row r="1963" spans="1:5" x14ac:dyDescent="0.35">
      <c r="A1963" s="1">
        <v>45427</v>
      </c>
      <c r="B1963" s="2">
        <v>45427</v>
      </c>
      <c r="C1963">
        <v>4</v>
      </c>
      <c r="D1963">
        <v>4.75</v>
      </c>
      <c r="E1963" s="4">
        <v>4.5</v>
      </c>
    </row>
    <row r="1964" spans="1:5" x14ac:dyDescent="0.35">
      <c r="A1964" s="1">
        <v>45428</v>
      </c>
      <c r="B1964" s="2">
        <v>45428</v>
      </c>
      <c r="C1964">
        <v>4</v>
      </c>
      <c r="D1964">
        <v>4.75</v>
      </c>
      <c r="E1964" s="4">
        <v>4.5</v>
      </c>
    </row>
    <row r="1965" spans="1:5" x14ac:dyDescent="0.35">
      <c r="A1965" s="1">
        <v>45429</v>
      </c>
      <c r="B1965" s="2">
        <v>45429</v>
      </c>
      <c r="C1965">
        <v>4</v>
      </c>
      <c r="D1965">
        <v>4.75</v>
      </c>
      <c r="E1965" s="4">
        <v>4.5</v>
      </c>
    </row>
    <row r="1966" spans="1:5" x14ac:dyDescent="0.35">
      <c r="A1966" s="1">
        <v>45430</v>
      </c>
      <c r="B1966" s="2">
        <v>45430</v>
      </c>
      <c r="C1966">
        <v>4</v>
      </c>
      <c r="D1966">
        <v>4.75</v>
      </c>
      <c r="E1966" s="4">
        <v>4.5</v>
      </c>
    </row>
    <row r="1967" spans="1:5" x14ac:dyDescent="0.35">
      <c r="A1967" s="1">
        <v>45431</v>
      </c>
      <c r="B1967" s="2">
        <v>45431</v>
      </c>
      <c r="C1967">
        <v>4</v>
      </c>
      <c r="D1967">
        <v>4.75</v>
      </c>
      <c r="E1967" s="4">
        <v>4.5</v>
      </c>
    </row>
    <row r="1968" spans="1:5" x14ac:dyDescent="0.35">
      <c r="A1968" s="1">
        <v>45432</v>
      </c>
      <c r="B1968" s="2">
        <v>45432</v>
      </c>
      <c r="C1968">
        <v>4</v>
      </c>
      <c r="D1968">
        <v>4.75</v>
      </c>
      <c r="E1968" s="4">
        <v>4.5</v>
      </c>
    </row>
    <row r="1969" spans="1:5" x14ac:dyDescent="0.35">
      <c r="A1969" s="1">
        <v>45433</v>
      </c>
      <c r="B1969" s="2">
        <v>45433</v>
      </c>
      <c r="C1969">
        <v>4</v>
      </c>
      <c r="D1969">
        <v>4.75</v>
      </c>
      <c r="E1969" s="4">
        <v>4.5</v>
      </c>
    </row>
    <row r="1970" spans="1:5" x14ac:dyDescent="0.35">
      <c r="A1970" s="1">
        <v>45434</v>
      </c>
      <c r="B1970" s="2">
        <v>45434</v>
      </c>
      <c r="C1970">
        <v>4</v>
      </c>
      <c r="D1970">
        <v>4.75</v>
      </c>
      <c r="E1970" s="4">
        <v>4.5</v>
      </c>
    </row>
    <row r="1971" spans="1:5" x14ac:dyDescent="0.35">
      <c r="A1971" s="1">
        <v>45435</v>
      </c>
      <c r="B1971" s="2">
        <v>45435</v>
      </c>
      <c r="C1971">
        <v>4</v>
      </c>
      <c r="D1971">
        <v>4.75</v>
      </c>
      <c r="E1971" s="4">
        <v>4.5</v>
      </c>
    </row>
    <row r="1972" spans="1:5" x14ac:dyDescent="0.35">
      <c r="A1972" s="1">
        <v>45436</v>
      </c>
      <c r="B1972" s="2">
        <v>45436</v>
      </c>
      <c r="C1972">
        <v>4</v>
      </c>
      <c r="D1972">
        <v>4.75</v>
      </c>
      <c r="E1972" s="4">
        <v>4.5</v>
      </c>
    </row>
    <row r="1973" spans="1:5" x14ac:dyDescent="0.35">
      <c r="A1973" s="1">
        <v>45437</v>
      </c>
      <c r="B1973" s="2">
        <v>45437</v>
      </c>
      <c r="C1973">
        <v>4</v>
      </c>
      <c r="D1973">
        <v>4.75</v>
      </c>
      <c r="E1973" s="4">
        <v>4.5</v>
      </c>
    </row>
    <row r="1974" spans="1:5" x14ac:dyDescent="0.35">
      <c r="A1974" s="1">
        <v>45438</v>
      </c>
      <c r="B1974" s="2">
        <v>45438</v>
      </c>
      <c r="C1974">
        <v>4</v>
      </c>
      <c r="D1974">
        <v>4.75</v>
      </c>
      <c r="E1974" s="4">
        <v>4.5</v>
      </c>
    </row>
    <row r="1975" spans="1:5" x14ac:dyDescent="0.35">
      <c r="A1975" s="1">
        <v>45439</v>
      </c>
      <c r="B1975" s="2">
        <v>45439</v>
      </c>
      <c r="C1975">
        <v>4</v>
      </c>
      <c r="D1975">
        <v>4.75</v>
      </c>
      <c r="E1975" s="4">
        <v>4.5</v>
      </c>
    </row>
    <row r="1976" spans="1:5" x14ac:dyDescent="0.35">
      <c r="A1976" s="1">
        <v>45440</v>
      </c>
      <c r="B1976" s="2">
        <v>45440</v>
      </c>
      <c r="C1976">
        <v>4</v>
      </c>
      <c r="D1976">
        <v>4.75</v>
      </c>
      <c r="E1976" s="4">
        <v>4.5</v>
      </c>
    </row>
    <row r="1977" spans="1:5" x14ac:dyDescent="0.35">
      <c r="A1977" s="1">
        <v>45441</v>
      </c>
      <c r="B1977" s="2">
        <v>45441</v>
      </c>
      <c r="C1977">
        <v>4</v>
      </c>
      <c r="D1977">
        <v>4.75</v>
      </c>
      <c r="E1977" s="4">
        <v>4.5</v>
      </c>
    </row>
    <row r="1978" spans="1:5" x14ac:dyDescent="0.35">
      <c r="A1978" s="1">
        <v>45442</v>
      </c>
      <c r="B1978" s="2">
        <v>45442</v>
      </c>
      <c r="C1978">
        <v>4</v>
      </c>
      <c r="D1978">
        <v>4.75</v>
      </c>
      <c r="E1978" s="4">
        <v>4.5</v>
      </c>
    </row>
    <row r="1979" spans="1:5" x14ac:dyDescent="0.35">
      <c r="A1979" s="1">
        <v>45443</v>
      </c>
      <c r="B1979" s="2">
        <v>45443</v>
      </c>
      <c r="C1979">
        <v>4</v>
      </c>
      <c r="D1979">
        <v>4.75</v>
      </c>
      <c r="E1979" s="4">
        <v>4.5</v>
      </c>
    </row>
    <row r="1980" spans="1:5" x14ac:dyDescent="0.35">
      <c r="A1980" s="1">
        <v>45444</v>
      </c>
      <c r="B1980" s="2">
        <v>45444</v>
      </c>
      <c r="C1980">
        <v>4</v>
      </c>
      <c r="D1980">
        <v>4.75</v>
      </c>
      <c r="E1980" s="4">
        <v>4.5</v>
      </c>
    </row>
    <row r="1981" spans="1:5" x14ac:dyDescent="0.35">
      <c r="A1981" s="1">
        <v>45445</v>
      </c>
      <c r="B1981" s="2">
        <v>45445</v>
      </c>
      <c r="C1981">
        <v>4</v>
      </c>
      <c r="D1981">
        <v>4.75</v>
      </c>
      <c r="E1981" s="4">
        <v>4.5</v>
      </c>
    </row>
    <row r="1982" spans="1:5" x14ac:dyDescent="0.35">
      <c r="A1982" s="1">
        <v>45446</v>
      </c>
      <c r="B1982" s="2">
        <v>45446</v>
      </c>
      <c r="C1982">
        <v>4</v>
      </c>
      <c r="D1982">
        <v>4.75</v>
      </c>
      <c r="E1982" s="4">
        <v>4.5</v>
      </c>
    </row>
    <row r="1983" spans="1:5" x14ac:dyDescent="0.35">
      <c r="A1983" s="1">
        <v>45447</v>
      </c>
      <c r="B1983" s="2">
        <v>45447</v>
      </c>
      <c r="C1983">
        <v>4</v>
      </c>
      <c r="D1983">
        <v>4.75</v>
      </c>
      <c r="E1983" s="4">
        <v>4.5</v>
      </c>
    </row>
    <row r="1984" spans="1:5" x14ac:dyDescent="0.35">
      <c r="A1984" s="1">
        <v>45448</v>
      </c>
      <c r="B1984" s="2">
        <v>45448</v>
      </c>
      <c r="C1984">
        <v>4</v>
      </c>
      <c r="D1984">
        <v>4.75</v>
      </c>
      <c r="E1984" s="4">
        <v>4.5</v>
      </c>
    </row>
    <row r="1985" spans="1:5" x14ac:dyDescent="0.35">
      <c r="A1985" s="1">
        <v>45449</v>
      </c>
      <c r="B1985" s="2">
        <v>45449</v>
      </c>
      <c r="C1985">
        <v>4</v>
      </c>
      <c r="D1985">
        <v>4.75</v>
      </c>
      <c r="E1985" s="4">
        <v>4.5</v>
      </c>
    </row>
    <row r="1986" spans="1:5" x14ac:dyDescent="0.35">
      <c r="A1986" s="1">
        <v>45450</v>
      </c>
      <c r="B1986" s="2">
        <v>45450</v>
      </c>
      <c r="C1986">
        <v>4</v>
      </c>
      <c r="D1986">
        <v>4.75</v>
      </c>
      <c r="E1986" s="4">
        <v>4.5</v>
      </c>
    </row>
    <row r="1987" spans="1:5" x14ac:dyDescent="0.35">
      <c r="A1987" s="1">
        <v>45451</v>
      </c>
      <c r="B1987" s="2">
        <v>45451</v>
      </c>
      <c r="C1987">
        <v>4</v>
      </c>
      <c r="D1987">
        <v>4.75</v>
      </c>
      <c r="E1987" s="4">
        <v>4.5</v>
      </c>
    </row>
    <row r="1988" spans="1:5" x14ac:dyDescent="0.35">
      <c r="A1988" s="1">
        <v>45452</v>
      </c>
      <c r="B1988" s="2">
        <v>45452</v>
      </c>
      <c r="C1988">
        <v>4</v>
      </c>
      <c r="D1988">
        <v>4.75</v>
      </c>
      <c r="E1988" s="4">
        <v>4.5</v>
      </c>
    </row>
    <row r="1989" spans="1:5" x14ac:dyDescent="0.35">
      <c r="A1989" s="1">
        <v>45453</v>
      </c>
      <c r="B1989" s="2">
        <v>45453</v>
      </c>
      <c r="C1989">
        <v>4</v>
      </c>
      <c r="D1989">
        <v>4.75</v>
      </c>
      <c r="E1989" s="4">
        <v>4.5</v>
      </c>
    </row>
    <row r="1990" spans="1:5" x14ac:dyDescent="0.35">
      <c r="A1990" s="1">
        <v>45454</v>
      </c>
      <c r="B1990" s="2">
        <v>45454</v>
      </c>
      <c r="C1990">
        <v>4</v>
      </c>
      <c r="D1990">
        <v>4.75</v>
      </c>
      <c r="E1990" s="4">
        <v>4.5</v>
      </c>
    </row>
    <row r="1991" spans="1:5" x14ac:dyDescent="0.35">
      <c r="A1991" s="1">
        <v>45455</v>
      </c>
      <c r="B1991" s="2">
        <v>45455</v>
      </c>
      <c r="C1991">
        <v>3.75</v>
      </c>
      <c r="D1991">
        <v>4.5</v>
      </c>
      <c r="E1991" s="4">
        <v>4.25</v>
      </c>
    </row>
    <row r="1992" spans="1:5" x14ac:dyDescent="0.35">
      <c r="A1992" s="1">
        <v>45456</v>
      </c>
      <c r="B1992" s="2">
        <v>45456</v>
      </c>
      <c r="C1992">
        <v>3.75</v>
      </c>
      <c r="D1992">
        <v>4.5</v>
      </c>
      <c r="E1992" s="4">
        <v>4.25</v>
      </c>
    </row>
    <row r="1993" spans="1:5" x14ac:dyDescent="0.35">
      <c r="A1993" s="1">
        <v>45457</v>
      </c>
      <c r="B1993" s="2">
        <v>45457</v>
      </c>
      <c r="C1993">
        <v>3.75</v>
      </c>
      <c r="D1993">
        <v>4.5</v>
      </c>
      <c r="E1993" s="4">
        <v>4.25</v>
      </c>
    </row>
    <row r="1994" spans="1:5" x14ac:dyDescent="0.35">
      <c r="A1994" s="1">
        <v>45458</v>
      </c>
      <c r="B1994" s="2">
        <v>45458</v>
      </c>
      <c r="C1994">
        <v>3.75</v>
      </c>
      <c r="D1994">
        <v>4.5</v>
      </c>
      <c r="E1994" s="4">
        <v>4.25</v>
      </c>
    </row>
    <row r="1995" spans="1:5" x14ac:dyDescent="0.35">
      <c r="A1995" s="1">
        <v>45459</v>
      </c>
      <c r="B1995" s="2">
        <v>45459</v>
      </c>
      <c r="C1995">
        <v>3.75</v>
      </c>
      <c r="D1995">
        <v>4.5</v>
      </c>
      <c r="E1995" s="4">
        <v>4.25</v>
      </c>
    </row>
    <row r="1996" spans="1:5" x14ac:dyDescent="0.35">
      <c r="A1996" s="1">
        <v>45460</v>
      </c>
      <c r="B1996" s="2">
        <v>45460</v>
      </c>
      <c r="C1996">
        <v>3.75</v>
      </c>
      <c r="D1996">
        <v>4.5</v>
      </c>
      <c r="E1996" s="4">
        <v>4.25</v>
      </c>
    </row>
    <row r="1997" spans="1:5" x14ac:dyDescent="0.35">
      <c r="A1997" s="1">
        <v>45461</v>
      </c>
      <c r="B1997" s="2">
        <v>45461</v>
      </c>
      <c r="C1997">
        <v>3.75</v>
      </c>
      <c r="D1997">
        <v>4.5</v>
      </c>
      <c r="E1997" s="4">
        <v>4.25</v>
      </c>
    </row>
    <row r="1998" spans="1:5" x14ac:dyDescent="0.35">
      <c r="A1998" s="1">
        <v>45462</v>
      </c>
      <c r="B1998" s="2">
        <v>45462</v>
      </c>
      <c r="C1998">
        <v>3.75</v>
      </c>
      <c r="D1998">
        <v>4.5</v>
      </c>
      <c r="E1998" s="4">
        <v>4.25</v>
      </c>
    </row>
    <row r="1999" spans="1:5" x14ac:dyDescent="0.35">
      <c r="A1999" s="1">
        <v>45463</v>
      </c>
      <c r="B1999" s="2">
        <v>45463</v>
      </c>
      <c r="C1999">
        <v>3.75</v>
      </c>
      <c r="D1999">
        <v>4.5</v>
      </c>
      <c r="E1999" s="4">
        <v>4.25</v>
      </c>
    </row>
    <row r="2000" spans="1:5" x14ac:dyDescent="0.35">
      <c r="A2000" s="1">
        <v>45464</v>
      </c>
      <c r="B2000" s="2">
        <v>45464</v>
      </c>
      <c r="C2000">
        <v>3.75</v>
      </c>
      <c r="D2000">
        <v>4.5</v>
      </c>
      <c r="E2000" s="4">
        <v>4.25</v>
      </c>
    </row>
    <row r="2001" spans="1:5" x14ac:dyDescent="0.35">
      <c r="A2001" s="1">
        <v>45465</v>
      </c>
      <c r="B2001" s="2">
        <v>45465</v>
      </c>
      <c r="C2001">
        <v>3.75</v>
      </c>
      <c r="D2001">
        <v>4.5</v>
      </c>
      <c r="E2001" s="4">
        <v>4.25</v>
      </c>
    </row>
    <row r="2002" spans="1:5" x14ac:dyDescent="0.35">
      <c r="A2002" s="1">
        <v>45466</v>
      </c>
      <c r="B2002" s="2">
        <v>45466</v>
      </c>
      <c r="C2002">
        <v>3.75</v>
      </c>
      <c r="D2002">
        <v>4.5</v>
      </c>
      <c r="E2002" s="4">
        <v>4.25</v>
      </c>
    </row>
    <row r="2003" spans="1:5" x14ac:dyDescent="0.35">
      <c r="A2003" s="1">
        <v>45467</v>
      </c>
      <c r="B2003" s="2">
        <v>45467</v>
      </c>
      <c r="C2003">
        <v>3.75</v>
      </c>
      <c r="D2003">
        <v>4.5</v>
      </c>
      <c r="E2003" s="4">
        <v>4.25</v>
      </c>
    </row>
    <row r="2004" spans="1:5" x14ac:dyDescent="0.35">
      <c r="A2004" s="1">
        <v>45468</v>
      </c>
      <c r="B2004" s="2">
        <v>45468</v>
      </c>
      <c r="C2004">
        <v>3.75</v>
      </c>
      <c r="D2004">
        <v>4.5</v>
      </c>
      <c r="E2004" s="4">
        <v>4.25</v>
      </c>
    </row>
    <row r="2005" spans="1:5" x14ac:dyDescent="0.35">
      <c r="A2005" s="1">
        <v>45469</v>
      </c>
      <c r="B2005" s="2">
        <v>45469</v>
      </c>
      <c r="C2005">
        <v>3.75</v>
      </c>
      <c r="D2005">
        <v>4.5</v>
      </c>
      <c r="E2005" s="4">
        <v>4.25</v>
      </c>
    </row>
    <row r="2006" spans="1:5" x14ac:dyDescent="0.35">
      <c r="A2006" s="1">
        <v>45470</v>
      </c>
      <c r="B2006" s="2">
        <v>45470</v>
      </c>
      <c r="C2006">
        <v>3.75</v>
      </c>
      <c r="D2006">
        <v>4.5</v>
      </c>
      <c r="E2006" s="4">
        <v>4.25</v>
      </c>
    </row>
    <row r="2007" spans="1:5" x14ac:dyDescent="0.35">
      <c r="A2007" s="1">
        <v>45471</v>
      </c>
      <c r="B2007" s="2">
        <v>45471</v>
      </c>
      <c r="C2007">
        <v>3.75</v>
      </c>
      <c r="D2007">
        <v>4.5</v>
      </c>
      <c r="E2007" s="4">
        <v>4.25</v>
      </c>
    </row>
    <row r="2008" spans="1:5" x14ac:dyDescent="0.35">
      <c r="A2008" s="1">
        <v>45472</v>
      </c>
      <c r="B2008" s="2">
        <v>45472</v>
      </c>
      <c r="C2008">
        <v>3.75</v>
      </c>
      <c r="D2008">
        <v>4.5</v>
      </c>
      <c r="E2008" s="4">
        <v>4.25</v>
      </c>
    </row>
    <row r="2009" spans="1:5" x14ac:dyDescent="0.35">
      <c r="A2009" s="1">
        <v>45473</v>
      </c>
      <c r="B2009" s="2">
        <v>45473</v>
      </c>
      <c r="C2009">
        <v>3.75</v>
      </c>
      <c r="D2009">
        <v>4.5</v>
      </c>
      <c r="E2009" s="4">
        <v>4.25</v>
      </c>
    </row>
    <row r="2010" spans="1:5" x14ac:dyDescent="0.35">
      <c r="A2010" s="1">
        <v>45474</v>
      </c>
      <c r="B2010" s="2">
        <v>45474</v>
      </c>
      <c r="C2010">
        <v>3.75</v>
      </c>
      <c r="D2010">
        <v>4.5</v>
      </c>
      <c r="E2010" s="4">
        <v>4.25</v>
      </c>
    </row>
    <row r="2011" spans="1:5" x14ac:dyDescent="0.35">
      <c r="A2011" s="1">
        <v>45475</v>
      </c>
      <c r="B2011" s="2">
        <v>45475</v>
      </c>
      <c r="C2011">
        <v>3.75</v>
      </c>
      <c r="D2011">
        <v>4.5</v>
      </c>
      <c r="E2011" s="4">
        <v>4.25</v>
      </c>
    </row>
    <row r="2012" spans="1:5" x14ac:dyDescent="0.35">
      <c r="A2012" s="1">
        <v>45476</v>
      </c>
      <c r="B2012" s="2">
        <v>45476</v>
      </c>
      <c r="C2012">
        <v>3.75</v>
      </c>
      <c r="D2012">
        <v>4.5</v>
      </c>
      <c r="E2012" s="4">
        <v>4.25</v>
      </c>
    </row>
    <row r="2013" spans="1:5" x14ac:dyDescent="0.35">
      <c r="A2013" s="1">
        <v>45477</v>
      </c>
      <c r="B2013" s="2">
        <v>45477</v>
      </c>
      <c r="C2013">
        <v>3.75</v>
      </c>
      <c r="D2013">
        <v>4.5</v>
      </c>
      <c r="E2013" s="4">
        <v>4.25</v>
      </c>
    </row>
    <row r="2014" spans="1:5" x14ac:dyDescent="0.35">
      <c r="A2014" s="1">
        <v>45478</v>
      </c>
      <c r="B2014" s="2">
        <v>45478</v>
      </c>
      <c r="C2014">
        <v>3.75</v>
      </c>
      <c r="D2014">
        <v>4.5</v>
      </c>
      <c r="E2014" s="4">
        <v>4.25</v>
      </c>
    </row>
    <row r="2015" spans="1:5" x14ac:dyDescent="0.35">
      <c r="A2015" s="1">
        <v>45479</v>
      </c>
      <c r="B2015" s="2">
        <v>45479</v>
      </c>
      <c r="C2015">
        <v>3.75</v>
      </c>
      <c r="D2015">
        <v>4.5</v>
      </c>
      <c r="E2015" s="4">
        <v>4.25</v>
      </c>
    </row>
    <row r="2016" spans="1:5" x14ac:dyDescent="0.35">
      <c r="A2016" s="1">
        <v>45480</v>
      </c>
      <c r="B2016" s="2">
        <v>45480</v>
      </c>
      <c r="C2016">
        <v>3.75</v>
      </c>
      <c r="D2016">
        <v>4.5</v>
      </c>
      <c r="E2016" s="4">
        <v>4.25</v>
      </c>
    </row>
    <row r="2017" spans="1:5" x14ac:dyDescent="0.35">
      <c r="A2017" s="1">
        <v>45481</v>
      </c>
      <c r="B2017" s="2">
        <v>45481</v>
      </c>
      <c r="C2017">
        <v>3.75</v>
      </c>
      <c r="D2017">
        <v>4.5</v>
      </c>
      <c r="E2017" s="4">
        <v>4.25</v>
      </c>
    </row>
    <row r="2018" spans="1:5" x14ac:dyDescent="0.35">
      <c r="A2018" s="1">
        <v>45482</v>
      </c>
      <c r="B2018" s="2">
        <v>45482</v>
      </c>
      <c r="C2018">
        <v>3.75</v>
      </c>
      <c r="D2018">
        <v>4.5</v>
      </c>
      <c r="E2018" s="4">
        <v>4.25</v>
      </c>
    </row>
    <row r="2019" spans="1:5" x14ac:dyDescent="0.35">
      <c r="A2019" s="1">
        <v>45483</v>
      </c>
      <c r="B2019" s="2">
        <v>45483</v>
      </c>
      <c r="C2019">
        <v>3.75</v>
      </c>
      <c r="D2019">
        <v>4.5</v>
      </c>
      <c r="E2019" s="4">
        <v>4.25</v>
      </c>
    </row>
    <row r="2020" spans="1:5" x14ac:dyDescent="0.35">
      <c r="A2020" s="1">
        <v>45484</v>
      </c>
      <c r="B2020" s="2">
        <v>45484</v>
      </c>
      <c r="C2020">
        <v>3.75</v>
      </c>
      <c r="D2020">
        <v>4.5</v>
      </c>
      <c r="E2020" s="4">
        <v>4.25</v>
      </c>
    </row>
    <row r="2021" spans="1:5" x14ac:dyDescent="0.35">
      <c r="A2021" s="1">
        <v>45485</v>
      </c>
      <c r="B2021" s="2">
        <v>45485</v>
      </c>
      <c r="C2021">
        <v>3.75</v>
      </c>
      <c r="D2021">
        <v>4.5</v>
      </c>
      <c r="E2021" s="4">
        <v>4.25</v>
      </c>
    </row>
    <row r="2022" spans="1:5" x14ac:dyDescent="0.35">
      <c r="A2022" s="1">
        <v>45486</v>
      </c>
      <c r="B2022" s="2">
        <v>45486</v>
      </c>
      <c r="C2022">
        <v>3.75</v>
      </c>
      <c r="D2022">
        <v>4.5</v>
      </c>
      <c r="E2022" s="4">
        <v>4.25</v>
      </c>
    </row>
    <row r="2023" spans="1:5" x14ac:dyDescent="0.35">
      <c r="A2023" s="1">
        <v>45487</v>
      </c>
      <c r="B2023" s="2">
        <v>45487</v>
      </c>
      <c r="C2023">
        <v>3.75</v>
      </c>
      <c r="D2023">
        <v>4.5</v>
      </c>
      <c r="E2023" s="4">
        <v>4.25</v>
      </c>
    </row>
    <row r="2024" spans="1:5" x14ac:dyDescent="0.35">
      <c r="A2024" s="1">
        <v>45488</v>
      </c>
      <c r="B2024" s="2">
        <v>45488</v>
      </c>
      <c r="C2024">
        <v>3.75</v>
      </c>
      <c r="D2024">
        <v>4.5</v>
      </c>
      <c r="E2024" s="4">
        <v>4.25</v>
      </c>
    </row>
    <row r="2025" spans="1:5" x14ac:dyDescent="0.35">
      <c r="A2025" s="1">
        <v>45489</v>
      </c>
      <c r="B2025" s="2">
        <v>45489</v>
      </c>
      <c r="C2025">
        <v>3.75</v>
      </c>
      <c r="D2025">
        <v>4.5</v>
      </c>
      <c r="E2025" s="4">
        <v>4.25</v>
      </c>
    </row>
    <row r="2026" spans="1:5" x14ac:dyDescent="0.35">
      <c r="A2026" s="1">
        <v>45490</v>
      </c>
      <c r="B2026" s="2">
        <v>45490</v>
      </c>
      <c r="C2026">
        <v>3.75</v>
      </c>
      <c r="D2026">
        <v>4.5</v>
      </c>
      <c r="E2026" s="4">
        <v>4.25</v>
      </c>
    </row>
    <row r="2027" spans="1:5" x14ac:dyDescent="0.35">
      <c r="A2027" s="1">
        <v>45491</v>
      </c>
      <c r="B2027" s="2">
        <v>45491</v>
      </c>
      <c r="C2027">
        <v>3.75</v>
      </c>
      <c r="D2027">
        <v>4.5</v>
      </c>
      <c r="E2027" s="4">
        <v>4.25</v>
      </c>
    </row>
    <row r="2028" spans="1:5" x14ac:dyDescent="0.35">
      <c r="A2028" s="1">
        <v>45492</v>
      </c>
      <c r="B2028" s="2">
        <v>45492</v>
      </c>
      <c r="C2028">
        <v>3.75</v>
      </c>
      <c r="D2028">
        <v>4.5</v>
      </c>
      <c r="E2028" s="4">
        <v>4.25</v>
      </c>
    </row>
    <row r="2029" spans="1:5" x14ac:dyDescent="0.35">
      <c r="A2029" s="1">
        <v>45493</v>
      </c>
      <c r="B2029" s="2">
        <v>45493</v>
      </c>
      <c r="C2029">
        <v>3.75</v>
      </c>
      <c r="D2029">
        <v>4.5</v>
      </c>
      <c r="E2029" s="4">
        <v>4.25</v>
      </c>
    </row>
    <row r="2030" spans="1:5" x14ac:dyDescent="0.35">
      <c r="A2030" s="1">
        <v>45494</v>
      </c>
      <c r="B2030" s="2">
        <v>45494</v>
      </c>
      <c r="C2030">
        <v>3.75</v>
      </c>
      <c r="D2030">
        <v>4.5</v>
      </c>
      <c r="E2030" s="4">
        <v>4.25</v>
      </c>
    </row>
    <row r="2031" spans="1:5" x14ac:dyDescent="0.35">
      <c r="A2031" s="1">
        <v>45495</v>
      </c>
      <c r="B2031" s="2">
        <v>45495</v>
      </c>
      <c r="C2031">
        <v>3.75</v>
      </c>
      <c r="D2031">
        <v>4.5</v>
      </c>
      <c r="E2031" s="4">
        <v>4.25</v>
      </c>
    </row>
    <row r="2032" spans="1:5" x14ac:dyDescent="0.35">
      <c r="A2032" s="1">
        <v>45496</v>
      </c>
      <c r="B2032" s="2">
        <v>45496</v>
      </c>
      <c r="C2032">
        <v>3.75</v>
      </c>
      <c r="D2032">
        <v>4.5</v>
      </c>
      <c r="E2032" s="4">
        <v>4.25</v>
      </c>
    </row>
    <row r="2033" spans="1:5" x14ac:dyDescent="0.35">
      <c r="A2033" s="1">
        <v>45497</v>
      </c>
      <c r="B2033" s="2">
        <v>45497</v>
      </c>
      <c r="C2033">
        <v>3.75</v>
      </c>
      <c r="D2033">
        <v>4.5</v>
      </c>
      <c r="E2033" s="4">
        <v>4.25</v>
      </c>
    </row>
    <row r="2034" spans="1:5" x14ac:dyDescent="0.35">
      <c r="A2034" s="1">
        <v>45498</v>
      </c>
      <c r="B2034" s="2">
        <v>45498</v>
      </c>
      <c r="C2034">
        <v>3.75</v>
      </c>
      <c r="D2034">
        <v>4.5</v>
      </c>
      <c r="E2034" s="4">
        <v>4.25</v>
      </c>
    </row>
    <row r="2035" spans="1:5" x14ac:dyDescent="0.35">
      <c r="A2035" s="1">
        <v>45499</v>
      </c>
      <c r="B2035" s="2">
        <v>45499</v>
      </c>
      <c r="C2035">
        <v>3.75</v>
      </c>
      <c r="D2035">
        <v>4.5</v>
      </c>
      <c r="E2035" s="4">
        <v>4.25</v>
      </c>
    </row>
    <row r="2036" spans="1:5" x14ac:dyDescent="0.35">
      <c r="A2036" s="1">
        <v>45500</v>
      </c>
      <c r="B2036" s="2">
        <v>45500</v>
      </c>
      <c r="C2036">
        <v>3.75</v>
      </c>
      <c r="D2036">
        <v>4.5</v>
      </c>
      <c r="E2036" s="4">
        <v>4.25</v>
      </c>
    </row>
    <row r="2037" spans="1:5" x14ac:dyDescent="0.35">
      <c r="A2037" s="1">
        <v>45501</v>
      </c>
      <c r="B2037" s="2">
        <v>45501</v>
      </c>
      <c r="C2037">
        <v>3.75</v>
      </c>
      <c r="D2037">
        <v>4.5</v>
      </c>
      <c r="E2037" s="4">
        <v>4.25</v>
      </c>
    </row>
    <row r="2038" spans="1:5" x14ac:dyDescent="0.35">
      <c r="A2038" s="1">
        <v>45502</v>
      </c>
      <c r="B2038" s="2">
        <v>45502</v>
      </c>
      <c r="C2038">
        <v>3.75</v>
      </c>
      <c r="D2038">
        <v>4.5</v>
      </c>
      <c r="E2038" s="4">
        <v>4.25</v>
      </c>
    </row>
    <row r="2039" spans="1:5" x14ac:dyDescent="0.35">
      <c r="A2039" s="1">
        <v>45503</v>
      </c>
      <c r="B2039" s="2">
        <v>45503</v>
      </c>
      <c r="C2039">
        <v>3.75</v>
      </c>
      <c r="D2039">
        <v>4.5</v>
      </c>
      <c r="E2039" s="4">
        <v>4.25</v>
      </c>
    </row>
    <row r="2040" spans="1:5" x14ac:dyDescent="0.35">
      <c r="A2040" s="1">
        <v>45504</v>
      </c>
      <c r="B2040" s="2">
        <v>45504</v>
      </c>
      <c r="C2040">
        <v>3.75</v>
      </c>
      <c r="D2040">
        <v>4.5</v>
      </c>
      <c r="E2040" s="4">
        <v>4.25</v>
      </c>
    </row>
    <row r="2041" spans="1:5" x14ac:dyDescent="0.35">
      <c r="A2041" s="1">
        <v>45505</v>
      </c>
      <c r="B2041" s="2">
        <v>45505</v>
      </c>
      <c r="C2041">
        <v>3.75</v>
      </c>
      <c r="D2041">
        <v>4.5</v>
      </c>
      <c r="E2041" s="4">
        <v>4.25</v>
      </c>
    </row>
    <row r="2042" spans="1:5" x14ac:dyDescent="0.35">
      <c r="A2042" s="1">
        <v>45506</v>
      </c>
      <c r="B2042" s="2">
        <v>45506</v>
      </c>
      <c r="C2042">
        <v>3.75</v>
      </c>
      <c r="D2042">
        <v>4.5</v>
      </c>
      <c r="E2042" s="4">
        <v>4.25</v>
      </c>
    </row>
    <row r="2043" spans="1:5" x14ac:dyDescent="0.35">
      <c r="A2043" s="1">
        <v>45507</v>
      </c>
      <c r="B2043" s="2">
        <v>45507</v>
      </c>
      <c r="C2043">
        <v>3.75</v>
      </c>
      <c r="D2043">
        <v>4.5</v>
      </c>
      <c r="E2043" s="4">
        <v>4.25</v>
      </c>
    </row>
    <row r="2044" spans="1:5" x14ac:dyDescent="0.35">
      <c r="A2044" s="1">
        <v>45508</v>
      </c>
      <c r="B2044" s="2">
        <v>45508</v>
      </c>
      <c r="C2044">
        <v>3.75</v>
      </c>
      <c r="D2044">
        <v>4.5</v>
      </c>
      <c r="E2044" s="4">
        <v>4.25</v>
      </c>
    </row>
    <row r="2045" spans="1:5" x14ac:dyDescent="0.35">
      <c r="A2045" s="1">
        <v>45509</v>
      </c>
      <c r="B2045" s="2">
        <v>45509</v>
      </c>
      <c r="C2045">
        <v>3.75</v>
      </c>
      <c r="D2045">
        <v>4.5</v>
      </c>
      <c r="E2045" s="4">
        <v>4.25</v>
      </c>
    </row>
    <row r="2046" spans="1:5" x14ac:dyDescent="0.35">
      <c r="A2046" s="1">
        <v>45510</v>
      </c>
      <c r="B2046" s="2">
        <v>45510</v>
      </c>
      <c r="C2046">
        <v>3.75</v>
      </c>
      <c r="D2046">
        <v>4.5</v>
      </c>
      <c r="E2046" s="4">
        <v>4.25</v>
      </c>
    </row>
    <row r="2047" spans="1:5" x14ac:dyDescent="0.35">
      <c r="A2047" s="1">
        <v>45511</v>
      </c>
      <c r="B2047" s="2">
        <v>45511</v>
      </c>
      <c r="C2047">
        <v>3.75</v>
      </c>
      <c r="D2047">
        <v>4.5</v>
      </c>
      <c r="E2047" s="4">
        <v>4.25</v>
      </c>
    </row>
    <row r="2048" spans="1:5" x14ac:dyDescent="0.35">
      <c r="A2048" s="1">
        <v>45512</v>
      </c>
      <c r="B2048" s="2">
        <v>45512</v>
      </c>
      <c r="C2048">
        <v>3.75</v>
      </c>
      <c r="D2048">
        <v>4.5</v>
      </c>
      <c r="E2048" s="4">
        <v>4.25</v>
      </c>
    </row>
    <row r="2049" spans="1:5" x14ac:dyDescent="0.35">
      <c r="A2049" s="1">
        <v>45513</v>
      </c>
      <c r="B2049" s="2">
        <v>45513</v>
      </c>
      <c r="C2049">
        <v>3.75</v>
      </c>
      <c r="D2049">
        <v>4.5</v>
      </c>
      <c r="E2049" s="4">
        <v>4.25</v>
      </c>
    </row>
    <row r="2050" spans="1:5" x14ac:dyDescent="0.35">
      <c r="A2050" s="1">
        <v>45514</v>
      </c>
      <c r="B2050" s="2">
        <v>45514</v>
      </c>
      <c r="C2050">
        <v>3.75</v>
      </c>
      <c r="D2050">
        <v>4.5</v>
      </c>
      <c r="E2050" s="4">
        <v>4.25</v>
      </c>
    </row>
    <row r="2051" spans="1:5" x14ac:dyDescent="0.35">
      <c r="A2051" s="1">
        <v>45515</v>
      </c>
      <c r="B2051" s="2">
        <v>45515</v>
      </c>
      <c r="C2051">
        <v>3.75</v>
      </c>
      <c r="D2051">
        <v>4.5</v>
      </c>
      <c r="E2051" s="4">
        <v>4.25</v>
      </c>
    </row>
    <row r="2052" spans="1:5" x14ac:dyDescent="0.35">
      <c r="A2052" s="1">
        <v>45516</v>
      </c>
      <c r="B2052" s="2">
        <v>45516</v>
      </c>
      <c r="C2052">
        <v>3.75</v>
      </c>
      <c r="D2052">
        <v>4.5</v>
      </c>
      <c r="E2052" s="4">
        <v>4.25</v>
      </c>
    </row>
    <row r="2053" spans="1:5" x14ac:dyDescent="0.35">
      <c r="A2053" s="1">
        <v>45517</v>
      </c>
      <c r="B2053" s="2">
        <v>45517</v>
      </c>
      <c r="C2053">
        <v>3.75</v>
      </c>
      <c r="D2053">
        <v>4.5</v>
      </c>
      <c r="E2053" s="4">
        <v>4.25</v>
      </c>
    </row>
    <row r="2054" spans="1:5" x14ac:dyDescent="0.35">
      <c r="A2054" s="1">
        <v>45518</v>
      </c>
      <c r="B2054" s="2">
        <v>45518</v>
      </c>
      <c r="C2054">
        <v>3.75</v>
      </c>
      <c r="D2054">
        <v>4.5</v>
      </c>
      <c r="E2054" s="4">
        <v>4.25</v>
      </c>
    </row>
    <row r="2055" spans="1:5" x14ac:dyDescent="0.35">
      <c r="A2055" s="1">
        <v>45519</v>
      </c>
      <c r="B2055" s="2">
        <v>45519</v>
      </c>
      <c r="C2055">
        <v>3.75</v>
      </c>
      <c r="D2055">
        <v>4.5</v>
      </c>
      <c r="E2055" s="4">
        <v>4.25</v>
      </c>
    </row>
    <row r="2056" spans="1:5" x14ac:dyDescent="0.35">
      <c r="A2056" s="1">
        <v>45520</v>
      </c>
      <c r="B2056" s="2">
        <v>45520</v>
      </c>
      <c r="C2056">
        <v>3.75</v>
      </c>
      <c r="D2056">
        <v>4.5</v>
      </c>
      <c r="E2056" s="4">
        <v>4.25</v>
      </c>
    </row>
    <row r="2057" spans="1:5" x14ac:dyDescent="0.35">
      <c r="A2057" s="1">
        <v>45521</v>
      </c>
      <c r="B2057" s="2">
        <v>45521</v>
      </c>
      <c r="C2057">
        <v>3.75</v>
      </c>
      <c r="D2057">
        <v>4.5</v>
      </c>
      <c r="E2057" s="4">
        <v>4.25</v>
      </c>
    </row>
    <row r="2058" spans="1:5" x14ac:dyDescent="0.35">
      <c r="A2058" s="1">
        <v>45522</v>
      </c>
      <c r="B2058" s="2">
        <v>45522</v>
      </c>
      <c r="C2058">
        <v>3.75</v>
      </c>
      <c r="D2058">
        <v>4.5</v>
      </c>
      <c r="E2058" s="4">
        <v>4.25</v>
      </c>
    </row>
    <row r="2059" spans="1:5" x14ac:dyDescent="0.35">
      <c r="A2059" s="1">
        <v>45523</v>
      </c>
      <c r="B2059" s="2">
        <v>45523</v>
      </c>
      <c r="C2059">
        <v>3.75</v>
      </c>
      <c r="D2059">
        <v>4.5</v>
      </c>
      <c r="E2059" s="4">
        <v>4.25</v>
      </c>
    </row>
    <row r="2060" spans="1:5" x14ac:dyDescent="0.35">
      <c r="A2060" s="1">
        <v>45524</v>
      </c>
      <c r="B2060" s="2">
        <v>45524</v>
      </c>
      <c r="C2060">
        <v>3.75</v>
      </c>
      <c r="D2060">
        <v>4.5</v>
      </c>
      <c r="E2060" s="4">
        <v>4.25</v>
      </c>
    </row>
    <row r="2061" spans="1:5" x14ac:dyDescent="0.35">
      <c r="A2061" s="1">
        <v>45525</v>
      </c>
      <c r="B2061" s="2">
        <v>45525</v>
      </c>
      <c r="C2061">
        <v>3.75</v>
      </c>
      <c r="D2061">
        <v>4.5</v>
      </c>
      <c r="E2061" s="4">
        <v>4.25</v>
      </c>
    </row>
    <row r="2062" spans="1:5" x14ac:dyDescent="0.35">
      <c r="A2062" s="1">
        <v>45526</v>
      </c>
      <c r="B2062" s="2">
        <v>45526</v>
      </c>
      <c r="C2062">
        <v>3.75</v>
      </c>
      <c r="D2062">
        <v>4.5</v>
      </c>
      <c r="E2062" s="4">
        <v>4.25</v>
      </c>
    </row>
    <row r="2063" spans="1:5" x14ac:dyDescent="0.35">
      <c r="A2063" s="1">
        <v>45527</v>
      </c>
      <c r="B2063" s="2">
        <v>45527</v>
      </c>
      <c r="C2063">
        <v>3.75</v>
      </c>
      <c r="D2063">
        <v>4.5</v>
      </c>
      <c r="E2063" s="4">
        <v>4.25</v>
      </c>
    </row>
    <row r="2064" spans="1:5" x14ac:dyDescent="0.35">
      <c r="A2064" s="1">
        <v>45528</v>
      </c>
      <c r="B2064" s="2">
        <v>45528</v>
      </c>
      <c r="C2064">
        <v>3.75</v>
      </c>
      <c r="D2064">
        <v>4.5</v>
      </c>
      <c r="E2064" s="4">
        <v>4.25</v>
      </c>
    </row>
    <row r="2065" spans="1:5" x14ac:dyDescent="0.35">
      <c r="A2065" s="1">
        <v>45529</v>
      </c>
      <c r="B2065" s="2">
        <v>45529</v>
      </c>
      <c r="C2065">
        <v>3.75</v>
      </c>
      <c r="D2065">
        <v>4.5</v>
      </c>
      <c r="E2065" s="4">
        <v>4.25</v>
      </c>
    </row>
    <row r="2066" spans="1:5" x14ac:dyDescent="0.35">
      <c r="A2066" s="1">
        <v>45530</v>
      </c>
      <c r="B2066" s="2">
        <v>45530</v>
      </c>
      <c r="C2066">
        <v>3.75</v>
      </c>
      <c r="D2066">
        <v>4.5</v>
      </c>
      <c r="E2066" s="4">
        <v>4.25</v>
      </c>
    </row>
    <row r="2067" spans="1:5" x14ac:dyDescent="0.35">
      <c r="A2067" s="1">
        <v>45531</v>
      </c>
      <c r="B2067" s="2">
        <v>45531</v>
      </c>
      <c r="C2067">
        <v>3.75</v>
      </c>
      <c r="D2067">
        <v>4.5</v>
      </c>
      <c r="E2067" s="4">
        <v>4.25</v>
      </c>
    </row>
    <row r="2068" spans="1:5" x14ac:dyDescent="0.35">
      <c r="A2068" s="1">
        <v>45532</v>
      </c>
      <c r="B2068" s="2">
        <v>45532</v>
      </c>
      <c r="C2068">
        <v>3.75</v>
      </c>
      <c r="D2068">
        <v>4.5</v>
      </c>
      <c r="E2068" s="4">
        <v>4.25</v>
      </c>
    </row>
    <row r="2069" spans="1:5" x14ac:dyDescent="0.35">
      <c r="A2069" s="1">
        <v>45533</v>
      </c>
      <c r="B2069" s="2">
        <v>45533</v>
      </c>
      <c r="C2069">
        <v>3.75</v>
      </c>
      <c r="D2069">
        <v>4.5</v>
      </c>
      <c r="E2069" s="4">
        <v>4.25</v>
      </c>
    </row>
    <row r="2070" spans="1:5" x14ac:dyDescent="0.35">
      <c r="A2070" s="1">
        <v>45534</v>
      </c>
      <c r="B2070" s="2">
        <v>45534</v>
      </c>
      <c r="C2070">
        <v>3.75</v>
      </c>
      <c r="D2070">
        <v>4.5</v>
      </c>
      <c r="E2070" s="4">
        <v>4.25</v>
      </c>
    </row>
    <row r="2071" spans="1:5" x14ac:dyDescent="0.35">
      <c r="A2071" s="1">
        <v>45535</v>
      </c>
      <c r="B2071" s="2">
        <v>45535</v>
      </c>
      <c r="C2071">
        <v>3.75</v>
      </c>
      <c r="D2071">
        <v>4.5</v>
      </c>
      <c r="E2071" s="4">
        <v>4.25</v>
      </c>
    </row>
    <row r="2072" spans="1:5" x14ac:dyDescent="0.35">
      <c r="A2072" s="1">
        <v>45536</v>
      </c>
      <c r="B2072" s="2">
        <v>45536</v>
      </c>
      <c r="C2072">
        <v>3.75</v>
      </c>
      <c r="D2072">
        <v>4.5</v>
      </c>
      <c r="E2072" s="4">
        <v>4.25</v>
      </c>
    </row>
    <row r="2073" spans="1:5" x14ac:dyDescent="0.35">
      <c r="A2073" s="1">
        <v>45537</v>
      </c>
      <c r="B2073" s="2">
        <v>45537</v>
      </c>
      <c r="C2073">
        <v>3.75</v>
      </c>
      <c r="D2073">
        <v>4.5</v>
      </c>
      <c r="E2073" s="4">
        <v>4.25</v>
      </c>
    </row>
    <row r="2074" spans="1:5" x14ac:dyDescent="0.35">
      <c r="A2074" s="1">
        <v>45538</v>
      </c>
      <c r="B2074" s="2">
        <v>45538</v>
      </c>
      <c r="C2074">
        <v>3.75</v>
      </c>
      <c r="D2074">
        <v>4.5</v>
      </c>
      <c r="E2074" s="4">
        <v>4.25</v>
      </c>
    </row>
    <row r="2075" spans="1:5" x14ac:dyDescent="0.35">
      <c r="A2075" s="1">
        <v>45539</v>
      </c>
      <c r="B2075" s="2">
        <v>45539</v>
      </c>
      <c r="C2075">
        <v>3.75</v>
      </c>
      <c r="D2075">
        <v>4.5</v>
      </c>
      <c r="E2075" s="4">
        <v>4.25</v>
      </c>
    </row>
    <row r="2076" spans="1:5" x14ac:dyDescent="0.35">
      <c r="A2076" s="1">
        <v>45540</v>
      </c>
      <c r="B2076" s="2">
        <v>45540</v>
      </c>
      <c r="C2076">
        <v>3.75</v>
      </c>
      <c r="D2076">
        <v>4.5</v>
      </c>
      <c r="E2076" s="4">
        <v>4.25</v>
      </c>
    </row>
    <row r="2077" spans="1:5" x14ac:dyDescent="0.35">
      <c r="A2077" s="1">
        <v>45541</v>
      </c>
      <c r="B2077" s="2">
        <v>45541</v>
      </c>
      <c r="C2077">
        <v>3.75</v>
      </c>
      <c r="D2077">
        <v>4.5</v>
      </c>
      <c r="E2077" s="4">
        <v>4.25</v>
      </c>
    </row>
    <row r="2078" spans="1:5" x14ac:dyDescent="0.35">
      <c r="A2078" s="1">
        <v>45542</v>
      </c>
      <c r="B2078" s="2">
        <v>45542</v>
      </c>
      <c r="C2078">
        <v>3.75</v>
      </c>
      <c r="D2078">
        <v>4.5</v>
      </c>
      <c r="E2078" s="4">
        <v>4.25</v>
      </c>
    </row>
    <row r="2079" spans="1:5" x14ac:dyDescent="0.35">
      <c r="A2079" s="1">
        <v>45543</v>
      </c>
      <c r="B2079" s="2">
        <v>45543</v>
      </c>
      <c r="C2079">
        <v>3.75</v>
      </c>
      <c r="D2079">
        <v>4.5</v>
      </c>
      <c r="E2079" s="4">
        <v>4.25</v>
      </c>
    </row>
    <row r="2080" spans="1:5" x14ac:dyDescent="0.35">
      <c r="A2080" s="1">
        <v>45544</v>
      </c>
      <c r="B2080" s="2">
        <v>45544</v>
      </c>
      <c r="C2080">
        <v>3.75</v>
      </c>
      <c r="D2080">
        <v>4.5</v>
      </c>
      <c r="E2080" s="4">
        <v>4.25</v>
      </c>
    </row>
    <row r="2081" spans="1:5" x14ac:dyDescent="0.35">
      <c r="A2081" s="1">
        <v>45545</v>
      </c>
      <c r="B2081" s="2">
        <v>45545</v>
      </c>
      <c r="C2081">
        <v>3.75</v>
      </c>
      <c r="D2081">
        <v>4.5</v>
      </c>
      <c r="E2081" s="4">
        <v>4.25</v>
      </c>
    </row>
    <row r="2082" spans="1:5" x14ac:dyDescent="0.35">
      <c r="A2082" s="1">
        <v>45546</v>
      </c>
      <c r="B2082" s="2">
        <v>45546</v>
      </c>
      <c r="C2082">
        <v>3.75</v>
      </c>
      <c r="D2082">
        <v>4.5</v>
      </c>
      <c r="E2082" s="4">
        <v>4.25</v>
      </c>
    </row>
    <row r="2083" spans="1:5" x14ac:dyDescent="0.35">
      <c r="A2083" s="1">
        <v>45547</v>
      </c>
      <c r="B2083" s="2">
        <v>45547</v>
      </c>
      <c r="C2083">
        <v>3.75</v>
      </c>
      <c r="D2083">
        <v>4.5</v>
      </c>
      <c r="E2083" s="4">
        <v>4.25</v>
      </c>
    </row>
    <row r="2084" spans="1:5" x14ac:dyDescent="0.35">
      <c r="A2084" s="1">
        <v>45548</v>
      </c>
      <c r="B2084" s="2">
        <v>45548</v>
      </c>
      <c r="C2084">
        <v>3.75</v>
      </c>
      <c r="D2084">
        <v>4.5</v>
      </c>
      <c r="E2084" s="4">
        <v>4.25</v>
      </c>
    </row>
    <row r="2085" spans="1:5" x14ac:dyDescent="0.35">
      <c r="A2085" s="1">
        <v>45549</v>
      </c>
      <c r="B2085" s="2">
        <v>45549</v>
      </c>
      <c r="C2085">
        <v>3.75</v>
      </c>
      <c r="D2085">
        <v>4.5</v>
      </c>
      <c r="E2085" s="4">
        <v>4.25</v>
      </c>
    </row>
    <row r="2086" spans="1:5" x14ac:dyDescent="0.35">
      <c r="A2086" s="1">
        <v>45550</v>
      </c>
      <c r="B2086" s="2">
        <v>45550</v>
      </c>
      <c r="C2086">
        <v>3.75</v>
      </c>
      <c r="D2086">
        <v>4.5</v>
      </c>
      <c r="E2086" s="4">
        <v>4.25</v>
      </c>
    </row>
    <row r="2087" spans="1:5" x14ac:dyDescent="0.35">
      <c r="A2087" s="1">
        <v>45551</v>
      </c>
      <c r="B2087" s="2">
        <v>45551</v>
      </c>
      <c r="C2087">
        <v>3.75</v>
      </c>
      <c r="D2087">
        <v>4.5</v>
      </c>
      <c r="E2087" s="4">
        <v>4.25</v>
      </c>
    </row>
    <row r="2088" spans="1:5" x14ac:dyDescent="0.35">
      <c r="A2088" s="1">
        <v>45552</v>
      </c>
      <c r="B2088" s="2">
        <v>45552</v>
      </c>
      <c r="C2088">
        <v>3.75</v>
      </c>
      <c r="D2088">
        <v>4.5</v>
      </c>
      <c r="E2088" s="4">
        <v>4.25</v>
      </c>
    </row>
    <row r="2089" spans="1:5" x14ac:dyDescent="0.35">
      <c r="A2089" s="1">
        <v>45553</v>
      </c>
      <c r="B2089" s="2">
        <v>45553</v>
      </c>
      <c r="C2089">
        <v>3.5</v>
      </c>
      <c r="D2089">
        <v>3.9</v>
      </c>
      <c r="E2089" s="4">
        <v>3.65</v>
      </c>
    </row>
    <row r="2090" spans="1:5" x14ac:dyDescent="0.35">
      <c r="A2090" s="1">
        <v>45554</v>
      </c>
      <c r="B2090" s="2">
        <v>45554</v>
      </c>
      <c r="C2090">
        <v>3.5</v>
      </c>
      <c r="D2090">
        <v>3.9</v>
      </c>
      <c r="E2090" s="4">
        <v>3.65</v>
      </c>
    </row>
    <row r="2091" spans="1:5" x14ac:dyDescent="0.35">
      <c r="A2091" s="1">
        <v>45555</v>
      </c>
      <c r="B2091" s="2">
        <v>45555</v>
      </c>
      <c r="C2091">
        <v>3.5</v>
      </c>
      <c r="D2091">
        <v>3.9</v>
      </c>
      <c r="E2091" s="4">
        <v>3.65</v>
      </c>
    </row>
    <row r="2092" spans="1:5" x14ac:dyDescent="0.35">
      <c r="A2092" s="1">
        <v>45556</v>
      </c>
      <c r="B2092" s="2">
        <v>45556</v>
      </c>
      <c r="C2092">
        <v>3.5</v>
      </c>
      <c r="D2092">
        <v>3.9</v>
      </c>
      <c r="E2092" s="4">
        <v>3.65</v>
      </c>
    </row>
    <row r="2093" spans="1:5" x14ac:dyDescent="0.35">
      <c r="A2093" s="1">
        <v>45557</v>
      </c>
      <c r="B2093" s="2">
        <v>45557</v>
      </c>
      <c r="C2093">
        <v>3.5</v>
      </c>
      <c r="D2093">
        <v>3.9</v>
      </c>
      <c r="E2093" s="4">
        <v>3.65</v>
      </c>
    </row>
    <row r="2094" spans="1:5" x14ac:dyDescent="0.35">
      <c r="A2094" s="1">
        <v>45558</v>
      </c>
      <c r="B2094" s="2">
        <v>45558</v>
      </c>
      <c r="C2094">
        <v>3.5</v>
      </c>
      <c r="D2094">
        <v>3.9</v>
      </c>
      <c r="E2094" s="4">
        <v>3.65</v>
      </c>
    </row>
    <row r="2095" spans="1:5" x14ac:dyDescent="0.35">
      <c r="A2095" s="1">
        <v>45559</v>
      </c>
      <c r="B2095" s="2">
        <v>45559</v>
      </c>
      <c r="C2095">
        <v>3.5</v>
      </c>
      <c r="D2095">
        <v>3.9</v>
      </c>
      <c r="E2095" s="4">
        <v>3.65</v>
      </c>
    </row>
    <row r="2096" spans="1:5" x14ac:dyDescent="0.35">
      <c r="A2096" s="1">
        <v>45560</v>
      </c>
      <c r="B2096" s="2">
        <v>45560</v>
      </c>
      <c r="C2096">
        <v>3.5</v>
      </c>
      <c r="D2096">
        <v>3.9</v>
      </c>
      <c r="E2096" s="4">
        <v>3.65</v>
      </c>
    </row>
    <row r="2097" spans="1:5" x14ac:dyDescent="0.35">
      <c r="A2097" s="1">
        <v>45561</v>
      </c>
      <c r="B2097" s="2">
        <v>45561</v>
      </c>
      <c r="C2097">
        <v>3.5</v>
      </c>
      <c r="D2097">
        <v>3.9</v>
      </c>
      <c r="E2097" s="4">
        <v>3.65</v>
      </c>
    </row>
    <row r="2098" spans="1:5" x14ac:dyDescent="0.35">
      <c r="A2098" s="1">
        <v>45562</v>
      </c>
      <c r="B2098" s="2">
        <v>45562</v>
      </c>
      <c r="C2098">
        <v>3.5</v>
      </c>
      <c r="D2098">
        <v>3.9</v>
      </c>
      <c r="E2098" s="4">
        <v>3.65</v>
      </c>
    </row>
    <row r="2099" spans="1:5" x14ac:dyDescent="0.35">
      <c r="A2099" s="1">
        <v>45563</v>
      </c>
      <c r="B2099" s="2">
        <v>45563</v>
      </c>
      <c r="C2099">
        <v>3.5</v>
      </c>
      <c r="D2099">
        <v>3.9</v>
      </c>
      <c r="E2099" s="4">
        <v>3.65</v>
      </c>
    </row>
    <row r="2100" spans="1:5" x14ac:dyDescent="0.35">
      <c r="A2100" s="1">
        <v>45564</v>
      </c>
      <c r="B2100" s="2">
        <v>45564</v>
      </c>
      <c r="C2100">
        <v>3.5</v>
      </c>
      <c r="D2100">
        <v>3.9</v>
      </c>
      <c r="E2100" s="4">
        <v>3.65</v>
      </c>
    </row>
    <row r="2101" spans="1:5" x14ac:dyDescent="0.35">
      <c r="A2101" s="1">
        <v>45565</v>
      </c>
      <c r="B2101" s="2">
        <v>45565</v>
      </c>
      <c r="C2101">
        <v>3.5</v>
      </c>
      <c r="D2101">
        <v>3.9</v>
      </c>
      <c r="E2101" s="4">
        <v>3.65</v>
      </c>
    </row>
    <row r="2102" spans="1:5" x14ac:dyDescent="0.35">
      <c r="A2102" s="1">
        <v>45566</v>
      </c>
      <c r="B2102" s="2">
        <v>45566</v>
      </c>
      <c r="C2102">
        <v>3.5</v>
      </c>
      <c r="D2102">
        <v>3.9</v>
      </c>
      <c r="E2102" s="4">
        <v>3.65</v>
      </c>
    </row>
    <row r="2103" spans="1:5" x14ac:dyDescent="0.35">
      <c r="A2103" s="1">
        <v>45567</v>
      </c>
      <c r="B2103" s="2">
        <v>45567</v>
      </c>
      <c r="C2103">
        <v>3.5</v>
      </c>
      <c r="D2103">
        <v>3.9</v>
      </c>
      <c r="E2103" s="4">
        <v>3.65</v>
      </c>
    </row>
    <row r="2104" spans="1:5" x14ac:dyDescent="0.35">
      <c r="A2104" s="1">
        <v>45568</v>
      </c>
      <c r="B2104" s="2">
        <v>45568</v>
      </c>
      <c r="C2104">
        <v>3.5</v>
      </c>
      <c r="D2104">
        <v>3.9</v>
      </c>
      <c r="E2104" s="4">
        <v>3.65</v>
      </c>
    </row>
    <row r="2105" spans="1:5" x14ac:dyDescent="0.35">
      <c r="A2105" s="1">
        <v>45569</v>
      </c>
      <c r="B2105" s="2">
        <v>45569</v>
      </c>
      <c r="C2105">
        <v>3.5</v>
      </c>
      <c r="D2105">
        <v>3.9</v>
      </c>
      <c r="E2105" s="4">
        <v>3.65</v>
      </c>
    </row>
    <row r="2106" spans="1:5" x14ac:dyDescent="0.35">
      <c r="A2106" s="1">
        <v>45570</v>
      </c>
      <c r="B2106" s="2">
        <v>45570</v>
      </c>
      <c r="C2106">
        <v>3.5</v>
      </c>
      <c r="D2106">
        <v>3.9</v>
      </c>
      <c r="E2106" s="4">
        <v>3.65</v>
      </c>
    </row>
    <row r="2107" spans="1:5" x14ac:dyDescent="0.35">
      <c r="A2107" s="1">
        <v>45571</v>
      </c>
      <c r="B2107" s="2">
        <v>45571</v>
      </c>
      <c r="C2107">
        <v>3.5</v>
      </c>
      <c r="D2107">
        <v>3.9</v>
      </c>
      <c r="E2107" s="4">
        <v>3.65</v>
      </c>
    </row>
    <row r="2108" spans="1:5" x14ac:dyDescent="0.35">
      <c r="A2108" s="1">
        <v>45572</v>
      </c>
      <c r="B2108" s="2">
        <v>45572</v>
      </c>
      <c r="C2108">
        <v>3.5</v>
      </c>
      <c r="D2108">
        <v>3.9</v>
      </c>
      <c r="E2108" s="4">
        <v>3.65</v>
      </c>
    </row>
    <row r="2109" spans="1:5" x14ac:dyDescent="0.35">
      <c r="A2109" s="1">
        <v>45573</v>
      </c>
      <c r="B2109" s="2">
        <v>45573</v>
      </c>
      <c r="C2109">
        <v>3.5</v>
      </c>
      <c r="D2109">
        <v>3.9</v>
      </c>
      <c r="E2109" s="4">
        <v>3.65</v>
      </c>
    </row>
    <row r="2110" spans="1:5" x14ac:dyDescent="0.35">
      <c r="A2110" s="1">
        <v>45574</v>
      </c>
      <c r="B2110" s="2">
        <v>45574</v>
      </c>
      <c r="C2110">
        <v>3.5</v>
      </c>
      <c r="D2110">
        <v>3.9</v>
      </c>
      <c r="E2110" s="4">
        <v>3.65</v>
      </c>
    </row>
    <row r="2111" spans="1:5" x14ac:dyDescent="0.35">
      <c r="A2111" s="1">
        <v>45575</v>
      </c>
      <c r="B2111" s="2">
        <v>45575</v>
      </c>
      <c r="C2111">
        <v>3.5</v>
      </c>
      <c r="D2111">
        <v>3.9</v>
      </c>
      <c r="E2111" s="4">
        <v>3.65</v>
      </c>
    </row>
    <row r="2112" spans="1:5" x14ac:dyDescent="0.35">
      <c r="A2112" s="1">
        <v>45576</v>
      </c>
      <c r="B2112" s="2">
        <v>45576</v>
      </c>
      <c r="C2112">
        <v>3.5</v>
      </c>
      <c r="D2112">
        <v>3.9</v>
      </c>
      <c r="E2112" s="4">
        <v>3.65</v>
      </c>
    </row>
    <row r="2113" spans="1:5" x14ac:dyDescent="0.35">
      <c r="A2113" s="1">
        <v>45577</v>
      </c>
      <c r="B2113" s="2">
        <v>45577</v>
      </c>
      <c r="C2113">
        <v>3.5</v>
      </c>
      <c r="D2113">
        <v>3.9</v>
      </c>
      <c r="E2113" s="4">
        <v>3.65</v>
      </c>
    </row>
    <row r="2114" spans="1:5" x14ac:dyDescent="0.35">
      <c r="A2114" s="1">
        <v>45578</v>
      </c>
      <c r="B2114" s="2">
        <v>45578</v>
      </c>
      <c r="C2114">
        <v>3.5</v>
      </c>
      <c r="D2114">
        <v>3.9</v>
      </c>
      <c r="E2114" s="4">
        <v>3.65</v>
      </c>
    </row>
    <row r="2115" spans="1:5" x14ac:dyDescent="0.35">
      <c r="A2115" s="1">
        <v>45579</v>
      </c>
      <c r="B2115" s="2">
        <v>45579</v>
      </c>
      <c r="C2115">
        <v>3.5</v>
      </c>
      <c r="D2115">
        <v>3.9</v>
      </c>
      <c r="E2115" s="4">
        <v>3.65</v>
      </c>
    </row>
    <row r="2116" spans="1:5" x14ac:dyDescent="0.35">
      <c r="A2116" s="1">
        <v>45580</v>
      </c>
      <c r="B2116" s="2">
        <v>45580</v>
      </c>
      <c r="C2116">
        <v>3.5</v>
      </c>
      <c r="D2116">
        <v>3.9</v>
      </c>
      <c r="E2116" s="4">
        <v>3.65</v>
      </c>
    </row>
    <row r="2117" spans="1:5" x14ac:dyDescent="0.35">
      <c r="A2117" s="1">
        <v>45581</v>
      </c>
      <c r="B2117" s="2">
        <v>45581</v>
      </c>
      <c r="C2117">
        <v>3.5</v>
      </c>
      <c r="D2117">
        <v>3.9</v>
      </c>
      <c r="E2117" s="4">
        <v>3.65</v>
      </c>
    </row>
    <row r="2118" spans="1:5" x14ac:dyDescent="0.35">
      <c r="A2118" s="1">
        <v>45582</v>
      </c>
      <c r="B2118" s="2">
        <v>45582</v>
      </c>
      <c r="C2118">
        <v>3.5</v>
      </c>
      <c r="D2118">
        <v>3.9</v>
      </c>
      <c r="E2118" s="4">
        <v>3.65</v>
      </c>
    </row>
    <row r="2119" spans="1:5" x14ac:dyDescent="0.35">
      <c r="A2119" s="1">
        <v>45583</v>
      </c>
      <c r="B2119" s="2">
        <v>45583</v>
      </c>
      <c r="C2119">
        <v>3.5</v>
      </c>
      <c r="D2119">
        <v>3.9</v>
      </c>
      <c r="E2119" s="4">
        <v>3.65</v>
      </c>
    </row>
    <row r="2120" spans="1:5" x14ac:dyDescent="0.35">
      <c r="A2120" s="1">
        <v>45584</v>
      </c>
      <c r="B2120" s="2">
        <v>45584</v>
      </c>
      <c r="C2120">
        <v>3.5</v>
      </c>
      <c r="D2120">
        <v>3.9</v>
      </c>
      <c r="E2120" s="4">
        <v>3.65</v>
      </c>
    </row>
    <row r="2121" spans="1:5" x14ac:dyDescent="0.35">
      <c r="A2121" s="1">
        <v>45585</v>
      </c>
      <c r="B2121" s="2">
        <v>45585</v>
      </c>
      <c r="C2121">
        <v>3.5</v>
      </c>
      <c r="D2121">
        <v>3.9</v>
      </c>
      <c r="E2121" s="4">
        <v>3.65</v>
      </c>
    </row>
    <row r="2122" spans="1:5" x14ac:dyDescent="0.35">
      <c r="A2122" s="1">
        <v>45586</v>
      </c>
      <c r="B2122" s="2">
        <v>45586</v>
      </c>
      <c r="C2122">
        <v>3.5</v>
      </c>
      <c r="D2122">
        <v>3.9</v>
      </c>
      <c r="E2122" s="4">
        <v>3.65</v>
      </c>
    </row>
    <row r="2123" spans="1:5" x14ac:dyDescent="0.35">
      <c r="A2123" s="1">
        <v>45587</v>
      </c>
      <c r="B2123" s="2">
        <v>45587</v>
      </c>
      <c r="C2123">
        <v>3.5</v>
      </c>
      <c r="D2123">
        <v>3.9</v>
      </c>
      <c r="E2123" s="4">
        <v>3.65</v>
      </c>
    </row>
    <row r="2124" spans="1:5" x14ac:dyDescent="0.35">
      <c r="A2124" s="1">
        <v>45588</v>
      </c>
      <c r="B2124" s="2">
        <v>45588</v>
      </c>
      <c r="C2124">
        <v>3.25</v>
      </c>
      <c r="D2124">
        <v>3.65</v>
      </c>
      <c r="E2124" s="4">
        <v>3.4</v>
      </c>
    </row>
    <row r="2125" spans="1:5" x14ac:dyDescent="0.35">
      <c r="A2125" s="1">
        <v>45589</v>
      </c>
      <c r="B2125" s="2">
        <v>45589</v>
      </c>
      <c r="C2125">
        <v>3.25</v>
      </c>
      <c r="D2125">
        <v>3.65</v>
      </c>
      <c r="E2125" s="4">
        <v>3.4</v>
      </c>
    </row>
    <row r="2126" spans="1:5" x14ac:dyDescent="0.35">
      <c r="A2126" s="1">
        <v>45590</v>
      </c>
      <c r="B2126" s="2">
        <v>45590</v>
      </c>
      <c r="C2126">
        <v>3.25</v>
      </c>
      <c r="D2126">
        <v>3.65</v>
      </c>
      <c r="E2126" s="4">
        <v>3.4</v>
      </c>
    </row>
    <row r="2127" spans="1:5" x14ac:dyDescent="0.35">
      <c r="A2127" s="1">
        <v>45591</v>
      </c>
      <c r="B2127" s="2">
        <v>45591</v>
      </c>
      <c r="C2127">
        <v>3.25</v>
      </c>
      <c r="D2127">
        <v>3.65</v>
      </c>
      <c r="E2127" s="4">
        <v>3.4</v>
      </c>
    </row>
    <row r="2128" spans="1:5" x14ac:dyDescent="0.35">
      <c r="A2128" s="1">
        <v>45592</v>
      </c>
      <c r="B2128" s="2">
        <v>45592</v>
      </c>
      <c r="C2128">
        <v>3.25</v>
      </c>
      <c r="D2128">
        <v>3.65</v>
      </c>
      <c r="E2128" s="4">
        <v>3.4</v>
      </c>
    </row>
    <row r="2129" spans="1:5" x14ac:dyDescent="0.35">
      <c r="A2129" s="1">
        <v>45593</v>
      </c>
      <c r="B2129" s="2">
        <v>45593</v>
      </c>
      <c r="C2129">
        <v>3.25</v>
      </c>
      <c r="D2129">
        <v>3.65</v>
      </c>
      <c r="E2129" s="4">
        <v>3.4</v>
      </c>
    </row>
    <row r="2130" spans="1:5" x14ac:dyDescent="0.35">
      <c r="A2130" s="1">
        <v>45594</v>
      </c>
      <c r="B2130" s="2">
        <v>45594</v>
      </c>
      <c r="C2130">
        <v>3.25</v>
      </c>
      <c r="D2130">
        <v>3.65</v>
      </c>
      <c r="E2130" s="4">
        <v>3.4</v>
      </c>
    </row>
    <row r="2131" spans="1:5" x14ac:dyDescent="0.35">
      <c r="A2131" s="1">
        <v>45595</v>
      </c>
      <c r="B2131" s="2">
        <v>45595</v>
      </c>
      <c r="C2131">
        <v>3.25</v>
      </c>
      <c r="D2131">
        <v>3.65</v>
      </c>
      <c r="E2131" s="4">
        <v>3.4</v>
      </c>
    </row>
    <row r="2132" spans="1:5" x14ac:dyDescent="0.35">
      <c r="A2132" s="1">
        <v>45596</v>
      </c>
      <c r="B2132" s="2">
        <v>45596</v>
      </c>
      <c r="C2132">
        <v>3.25</v>
      </c>
      <c r="D2132">
        <v>3.65</v>
      </c>
      <c r="E2132" s="4">
        <v>3.4</v>
      </c>
    </row>
    <row r="2133" spans="1:5" x14ac:dyDescent="0.35">
      <c r="A2133" s="1">
        <v>45597</v>
      </c>
      <c r="B2133" s="2">
        <v>45597</v>
      </c>
      <c r="C2133">
        <v>3.25</v>
      </c>
      <c r="D2133">
        <v>3.65</v>
      </c>
      <c r="E2133" s="4">
        <v>3.4</v>
      </c>
    </row>
    <row r="2134" spans="1:5" x14ac:dyDescent="0.35">
      <c r="A2134" s="1">
        <v>45598</v>
      </c>
      <c r="B2134" s="2">
        <v>45598</v>
      </c>
      <c r="C2134">
        <v>3.25</v>
      </c>
      <c r="D2134">
        <v>3.65</v>
      </c>
      <c r="E2134" s="4">
        <v>3.4</v>
      </c>
    </row>
    <row r="2135" spans="1:5" x14ac:dyDescent="0.35">
      <c r="A2135" s="1">
        <v>45599</v>
      </c>
      <c r="B2135" s="2">
        <v>45599</v>
      </c>
      <c r="C2135">
        <v>3.25</v>
      </c>
      <c r="D2135">
        <v>3.65</v>
      </c>
      <c r="E2135" s="4">
        <v>3.4</v>
      </c>
    </row>
    <row r="2136" spans="1:5" x14ac:dyDescent="0.35">
      <c r="A2136" s="1">
        <v>45600</v>
      </c>
      <c r="B2136" s="2">
        <v>45600</v>
      </c>
      <c r="C2136">
        <v>3.25</v>
      </c>
      <c r="D2136">
        <v>3.65</v>
      </c>
      <c r="E2136" s="4">
        <v>3.4</v>
      </c>
    </row>
    <row r="2137" spans="1:5" x14ac:dyDescent="0.35">
      <c r="A2137" s="1">
        <v>45601</v>
      </c>
      <c r="B2137" s="2">
        <v>45601</v>
      </c>
      <c r="C2137">
        <v>3.25</v>
      </c>
      <c r="D2137">
        <v>3.65</v>
      </c>
      <c r="E2137" s="4">
        <v>3.4</v>
      </c>
    </row>
    <row r="2138" spans="1:5" x14ac:dyDescent="0.35">
      <c r="A2138" s="1">
        <v>45602</v>
      </c>
      <c r="B2138" s="2">
        <v>45602</v>
      </c>
      <c r="C2138">
        <v>3.25</v>
      </c>
      <c r="D2138">
        <v>3.65</v>
      </c>
      <c r="E2138" s="4">
        <v>3.4</v>
      </c>
    </row>
    <row r="2139" spans="1:5" x14ac:dyDescent="0.35">
      <c r="A2139" s="1">
        <v>45603</v>
      </c>
      <c r="B2139" s="2">
        <v>45603</v>
      </c>
      <c r="C2139">
        <v>3.25</v>
      </c>
      <c r="D2139">
        <v>3.65</v>
      </c>
      <c r="E2139" s="4">
        <v>3.4</v>
      </c>
    </row>
    <row r="2140" spans="1:5" x14ac:dyDescent="0.35">
      <c r="A2140" s="1">
        <v>45604</v>
      </c>
      <c r="B2140" s="2">
        <v>45604</v>
      </c>
      <c r="C2140">
        <v>3.25</v>
      </c>
      <c r="D2140">
        <v>3.65</v>
      </c>
      <c r="E2140" s="4">
        <v>3.4</v>
      </c>
    </row>
    <row r="2141" spans="1:5" x14ac:dyDescent="0.35">
      <c r="A2141" s="1">
        <v>45605</v>
      </c>
      <c r="B2141" s="2">
        <v>45605</v>
      </c>
      <c r="C2141">
        <v>3.25</v>
      </c>
      <c r="D2141">
        <v>3.65</v>
      </c>
      <c r="E2141" s="4">
        <v>3.4</v>
      </c>
    </row>
    <row r="2142" spans="1:5" x14ac:dyDescent="0.35">
      <c r="A2142" s="1">
        <v>45606</v>
      </c>
      <c r="B2142" s="2">
        <v>45606</v>
      </c>
      <c r="C2142">
        <v>3.25</v>
      </c>
      <c r="D2142">
        <v>3.65</v>
      </c>
      <c r="E2142" s="4">
        <v>3.4</v>
      </c>
    </row>
    <row r="2143" spans="1:5" x14ac:dyDescent="0.35">
      <c r="A2143" s="1">
        <v>45607</v>
      </c>
      <c r="B2143" s="2">
        <v>45607</v>
      </c>
      <c r="C2143">
        <v>3.25</v>
      </c>
      <c r="D2143">
        <v>3.65</v>
      </c>
      <c r="E2143" s="4">
        <v>3.4</v>
      </c>
    </row>
    <row r="2144" spans="1:5" x14ac:dyDescent="0.35">
      <c r="A2144" s="1">
        <v>45608</v>
      </c>
      <c r="B2144" s="2">
        <v>45608</v>
      </c>
      <c r="C2144">
        <v>3.25</v>
      </c>
      <c r="D2144">
        <v>3.65</v>
      </c>
      <c r="E2144" s="4">
        <v>3.4</v>
      </c>
    </row>
    <row r="2145" spans="1:5" x14ac:dyDescent="0.35">
      <c r="A2145" s="1">
        <v>45609</v>
      </c>
      <c r="B2145" s="2">
        <v>45609</v>
      </c>
      <c r="C2145">
        <v>3.25</v>
      </c>
      <c r="D2145">
        <v>3.65</v>
      </c>
      <c r="E2145" s="4">
        <v>3.4</v>
      </c>
    </row>
    <row r="2146" spans="1:5" x14ac:dyDescent="0.35">
      <c r="A2146" s="1">
        <v>45610</v>
      </c>
      <c r="B2146" s="2">
        <v>45610</v>
      </c>
      <c r="C2146">
        <v>3.25</v>
      </c>
      <c r="D2146">
        <v>3.65</v>
      </c>
      <c r="E2146" s="4">
        <v>3.4</v>
      </c>
    </row>
    <row r="2147" spans="1:5" x14ac:dyDescent="0.35">
      <c r="A2147" s="1">
        <v>45611</v>
      </c>
      <c r="B2147" s="2">
        <v>45611</v>
      </c>
      <c r="C2147">
        <v>3.25</v>
      </c>
      <c r="D2147">
        <v>3.65</v>
      </c>
      <c r="E2147" s="4">
        <v>3.4</v>
      </c>
    </row>
    <row r="2148" spans="1:5" x14ac:dyDescent="0.35">
      <c r="A2148" s="1">
        <v>45612</v>
      </c>
      <c r="B2148" s="2">
        <v>45612</v>
      </c>
      <c r="C2148">
        <v>3.25</v>
      </c>
      <c r="D2148">
        <v>3.65</v>
      </c>
      <c r="E2148" s="4">
        <v>3.4</v>
      </c>
    </row>
    <row r="2149" spans="1:5" x14ac:dyDescent="0.35">
      <c r="A2149" s="1">
        <v>45613</v>
      </c>
      <c r="B2149" s="2">
        <v>45613</v>
      </c>
      <c r="C2149">
        <v>3.25</v>
      </c>
      <c r="D2149">
        <v>3.65</v>
      </c>
      <c r="E2149" s="4">
        <v>3.4</v>
      </c>
    </row>
    <row r="2150" spans="1:5" x14ac:dyDescent="0.35">
      <c r="A2150" s="1">
        <v>45614</v>
      </c>
      <c r="B2150" s="2">
        <v>45614</v>
      </c>
      <c r="C2150">
        <v>3.25</v>
      </c>
      <c r="D2150">
        <v>3.65</v>
      </c>
      <c r="E2150" s="4">
        <v>3.4</v>
      </c>
    </row>
    <row r="2151" spans="1:5" x14ac:dyDescent="0.35">
      <c r="A2151" s="1">
        <v>45615</v>
      </c>
      <c r="B2151" s="2">
        <v>45615</v>
      </c>
      <c r="C2151">
        <v>3.25</v>
      </c>
      <c r="D2151">
        <v>3.65</v>
      </c>
      <c r="E2151" s="4">
        <v>3.4</v>
      </c>
    </row>
    <row r="2152" spans="1:5" x14ac:dyDescent="0.35">
      <c r="A2152" s="1">
        <v>45616</v>
      </c>
      <c r="B2152" s="2">
        <v>45616</v>
      </c>
      <c r="C2152">
        <v>3.25</v>
      </c>
      <c r="D2152">
        <v>3.65</v>
      </c>
      <c r="E2152" s="4">
        <v>3.4</v>
      </c>
    </row>
    <row r="2153" spans="1:5" x14ac:dyDescent="0.35">
      <c r="A2153" s="1">
        <v>45617</v>
      </c>
      <c r="B2153" s="2">
        <v>45617</v>
      </c>
      <c r="C2153">
        <v>3.25</v>
      </c>
      <c r="D2153">
        <v>3.65</v>
      </c>
      <c r="E2153" s="4">
        <v>3.4</v>
      </c>
    </row>
    <row r="2154" spans="1:5" x14ac:dyDescent="0.35">
      <c r="A2154" s="1">
        <v>45618</v>
      </c>
      <c r="B2154" s="2">
        <v>45618</v>
      </c>
      <c r="C2154">
        <v>3.25</v>
      </c>
      <c r="D2154">
        <v>3.65</v>
      </c>
      <c r="E2154" s="4">
        <v>3.4</v>
      </c>
    </row>
    <row r="2155" spans="1:5" x14ac:dyDescent="0.35">
      <c r="A2155" s="1">
        <v>45619</v>
      </c>
      <c r="B2155" s="2">
        <v>45619</v>
      </c>
      <c r="C2155">
        <v>3.25</v>
      </c>
      <c r="D2155">
        <v>3.65</v>
      </c>
      <c r="E2155" s="4">
        <v>3.4</v>
      </c>
    </row>
    <row r="2156" spans="1:5" x14ac:dyDescent="0.35">
      <c r="A2156" s="1">
        <v>45620</v>
      </c>
      <c r="B2156" s="2">
        <v>45620</v>
      </c>
      <c r="C2156">
        <v>3.25</v>
      </c>
      <c r="D2156">
        <v>3.65</v>
      </c>
      <c r="E2156" s="4">
        <v>3.4</v>
      </c>
    </row>
    <row r="2157" spans="1:5" x14ac:dyDescent="0.35">
      <c r="A2157" s="1">
        <v>45621</v>
      </c>
      <c r="B2157" s="2">
        <v>45621</v>
      </c>
      <c r="C2157">
        <v>3.25</v>
      </c>
      <c r="D2157">
        <v>3.65</v>
      </c>
      <c r="E2157" s="4">
        <v>3.4</v>
      </c>
    </row>
    <row r="2158" spans="1:5" x14ac:dyDescent="0.35">
      <c r="A2158" s="1">
        <v>45622</v>
      </c>
      <c r="B2158" s="2">
        <v>45622</v>
      </c>
      <c r="C2158">
        <v>3.25</v>
      </c>
      <c r="D2158">
        <v>3.65</v>
      </c>
      <c r="E2158" s="4">
        <v>3.4</v>
      </c>
    </row>
    <row r="2159" spans="1:5" x14ac:dyDescent="0.35">
      <c r="A2159" s="1">
        <v>45623</v>
      </c>
      <c r="B2159" s="2">
        <v>45623</v>
      </c>
      <c r="C2159">
        <v>3.25</v>
      </c>
      <c r="D2159">
        <v>3.65</v>
      </c>
      <c r="E2159" s="4">
        <v>3.4</v>
      </c>
    </row>
    <row r="2160" spans="1:5" x14ac:dyDescent="0.35">
      <c r="A2160" s="1">
        <v>45624</v>
      </c>
      <c r="B2160" s="2">
        <v>45624</v>
      </c>
      <c r="C2160">
        <v>3.25</v>
      </c>
      <c r="D2160">
        <v>3.65</v>
      </c>
      <c r="E2160" s="4">
        <v>3.4</v>
      </c>
    </row>
    <row r="2161" spans="1:5" x14ac:dyDescent="0.35">
      <c r="A2161" s="1">
        <v>45625</v>
      </c>
      <c r="B2161" s="2">
        <v>45625</v>
      </c>
      <c r="C2161">
        <v>3.25</v>
      </c>
      <c r="D2161">
        <v>3.65</v>
      </c>
      <c r="E2161" s="4">
        <v>3.4</v>
      </c>
    </row>
    <row r="2162" spans="1:5" x14ac:dyDescent="0.35">
      <c r="A2162" s="1">
        <v>45626</v>
      </c>
      <c r="B2162" s="2">
        <v>45626</v>
      </c>
      <c r="C2162">
        <v>3.25</v>
      </c>
      <c r="D2162">
        <v>3.65</v>
      </c>
      <c r="E2162" s="4">
        <v>3.4</v>
      </c>
    </row>
    <row r="2163" spans="1:5" x14ac:dyDescent="0.35">
      <c r="A2163" s="1">
        <v>45627</v>
      </c>
      <c r="B2163" s="2">
        <v>45627</v>
      </c>
      <c r="C2163">
        <v>3.25</v>
      </c>
      <c r="D2163">
        <v>3.65</v>
      </c>
      <c r="E2163" s="4">
        <v>3.4</v>
      </c>
    </row>
    <row r="2164" spans="1:5" x14ac:dyDescent="0.35">
      <c r="A2164" s="1">
        <v>45628</v>
      </c>
      <c r="B2164" s="2">
        <v>45628</v>
      </c>
      <c r="C2164">
        <v>3.25</v>
      </c>
      <c r="D2164">
        <v>3.65</v>
      </c>
      <c r="E2164" s="4">
        <v>3.4</v>
      </c>
    </row>
    <row r="2165" spans="1:5" x14ac:dyDescent="0.35">
      <c r="A2165" s="1">
        <v>45629</v>
      </c>
      <c r="B2165" s="2">
        <v>45629</v>
      </c>
      <c r="C2165">
        <v>3.25</v>
      </c>
      <c r="D2165">
        <v>3.65</v>
      </c>
      <c r="E2165" s="4">
        <v>3.4</v>
      </c>
    </row>
    <row r="2166" spans="1:5" x14ac:dyDescent="0.35">
      <c r="A2166" s="1">
        <v>45630</v>
      </c>
      <c r="B2166" s="2">
        <v>45630</v>
      </c>
      <c r="C2166">
        <v>3.25</v>
      </c>
      <c r="D2166">
        <v>3.65</v>
      </c>
      <c r="E2166" s="4">
        <v>3.4</v>
      </c>
    </row>
    <row r="2167" spans="1:5" x14ac:dyDescent="0.35">
      <c r="A2167" s="1">
        <v>45631</v>
      </c>
      <c r="B2167" s="2">
        <v>45631</v>
      </c>
      <c r="C2167">
        <v>3.25</v>
      </c>
      <c r="D2167">
        <v>3.65</v>
      </c>
      <c r="E2167" s="4">
        <v>3.4</v>
      </c>
    </row>
    <row r="2168" spans="1:5" x14ac:dyDescent="0.35">
      <c r="A2168" s="1">
        <v>45632</v>
      </c>
      <c r="B2168" s="2">
        <v>45632</v>
      </c>
      <c r="C2168">
        <v>3.25</v>
      </c>
      <c r="D2168">
        <v>3.65</v>
      </c>
      <c r="E2168" s="4">
        <v>3.4</v>
      </c>
    </row>
    <row r="2169" spans="1:5" x14ac:dyDescent="0.35">
      <c r="A2169" s="1">
        <v>45633</v>
      </c>
      <c r="B2169" s="2">
        <v>45633</v>
      </c>
      <c r="C2169">
        <v>3.25</v>
      </c>
      <c r="D2169">
        <v>3.65</v>
      </c>
      <c r="E2169" s="4">
        <v>3.4</v>
      </c>
    </row>
    <row r="2170" spans="1:5" x14ac:dyDescent="0.35">
      <c r="A2170" s="1">
        <v>45634</v>
      </c>
      <c r="B2170" s="2">
        <v>45634</v>
      </c>
      <c r="C2170">
        <v>3.25</v>
      </c>
      <c r="D2170">
        <v>3.65</v>
      </c>
      <c r="E2170" s="4">
        <v>3.4</v>
      </c>
    </row>
    <row r="2171" spans="1:5" x14ac:dyDescent="0.35">
      <c r="A2171" s="1">
        <v>45635</v>
      </c>
      <c r="B2171" s="2">
        <v>45635</v>
      </c>
      <c r="C2171">
        <v>3.25</v>
      </c>
      <c r="D2171">
        <v>3.65</v>
      </c>
      <c r="E2171" s="4">
        <v>3.4</v>
      </c>
    </row>
    <row r="2172" spans="1:5" x14ac:dyDescent="0.35">
      <c r="A2172" s="1">
        <v>45636</v>
      </c>
      <c r="B2172" s="2">
        <v>45636</v>
      </c>
      <c r="C2172">
        <v>3.25</v>
      </c>
      <c r="D2172">
        <v>3.65</v>
      </c>
      <c r="E2172" s="4">
        <v>3.4</v>
      </c>
    </row>
    <row r="2173" spans="1:5" x14ac:dyDescent="0.35">
      <c r="A2173" s="1">
        <v>45637</v>
      </c>
      <c r="B2173" s="2">
        <v>45637</v>
      </c>
      <c r="C2173">
        <v>3.25</v>
      </c>
      <c r="D2173">
        <v>3.65</v>
      </c>
      <c r="E2173" s="4">
        <v>3.4</v>
      </c>
    </row>
    <row r="2174" spans="1:5" x14ac:dyDescent="0.35">
      <c r="A2174" s="1">
        <v>45638</v>
      </c>
      <c r="B2174" s="2">
        <v>45638</v>
      </c>
      <c r="C2174">
        <v>3.25</v>
      </c>
      <c r="D2174">
        <v>3.65</v>
      </c>
      <c r="E2174" s="4">
        <v>3.4</v>
      </c>
    </row>
    <row r="2175" spans="1:5" x14ac:dyDescent="0.35">
      <c r="A2175" s="1">
        <v>45639</v>
      </c>
      <c r="B2175" s="2">
        <v>45639</v>
      </c>
      <c r="C2175">
        <v>3.25</v>
      </c>
      <c r="D2175">
        <v>3.65</v>
      </c>
      <c r="E2175" s="4">
        <v>3.4</v>
      </c>
    </row>
    <row r="2176" spans="1:5" x14ac:dyDescent="0.35">
      <c r="A2176" s="1">
        <v>45640</v>
      </c>
      <c r="B2176" s="2">
        <v>45640</v>
      </c>
      <c r="C2176">
        <v>3.25</v>
      </c>
      <c r="D2176">
        <v>3.65</v>
      </c>
      <c r="E2176" s="4">
        <v>3.4</v>
      </c>
    </row>
    <row r="2177" spans="1:5" x14ac:dyDescent="0.35">
      <c r="A2177" s="1">
        <v>45641</v>
      </c>
      <c r="B2177" s="2">
        <v>45641</v>
      </c>
      <c r="C2177">
        <v>3.25</v>
      </c>
      <c r="D2177">
        <v>3.65</v>
      </c>
      <c r="E2177" s="4">
        <v>3.4</v>
      </c>
    </row>
    <row r="2178" spans="1:5" x14ac:dyDescent="0.35">
      <c r="A2178" s="1">
        <v>45642</v>
      </c>
      <c r="B2178" s="2">
        <v>45642</v>
      </c>
      <c r="C2178">
        <v>3.25</v>
      </c>
      <c r="D2178">
        <v>3.65</v>
      </c>
      <c r="E2178" s="4">
        <v>3.4</v>
      </c>
    </row>
    <row r="2179" spans="1:5" x14ac:dyDescent="0.35">
      <c r="A2179" s="1">
        <v>45643</v>
      </c>
      <c r="B2179" s="2">
        <v>45643</v>
      </c>
      <c r="C2179">
        <v>3.25</v>
      </c>
      <c r="D2179">
        <v>3.65</v>
      </c>
      <c r="E2179" s="4">
        <v>3.4</v>
      </c>
    </row>
    <row r="2180" spans="1:5" x14ac:dyDescent="0.35">
      <c r="A2180" s="1">
        <v>45644</v>
      </c>
      <c r="B2180" s="2">
        <v>45644</v>
      </c>
      <c r="C2180">
        <v>3</v>
      </c>
      <c r="D2180">
        <v>3.4</v>
      </c>
      <c r="E2180" s="4">
        <v>3.15</v>
      </c>
    </row>
    <row r="2181" spans="1:5" x14ac:dyDescent="0.35">
      <c r="A2181" s="1">
        <v>45645</v>
      </c>
      <c r="B2181" s="2">
        <v>45645</v>
      </c>
      <c r="C2181">
        <v>3</v>
      </c>
      <c r="D2181">
        <v>3.4</v>
      </c>
      <c r="E2181" s="4">
        <v>3.15</v>
      </c>
    </row>
    <row r="2182" spans="1:5" x14ac:dyDescent="0.35">
      <c r="A2182" s="1">
        <v>45646</v>
      </c>
      <c r="B2182" s="2">
        <v>45646</v>
      </c>
      <c r="C2182">
        <v>3</v>
      </c>
      <c r="D2182">
        <v>3.4</v>
      </c>
      <c r="E2182" s="4">
        <v>3.15</v>
      </c>
    </row>
    <row r="2183" spans="1:5" x14ac:dyDescent="0.35">
      <c r="A2183" s="1">
        <v>45647</v>
      </c>
      <c r="B2183" s="2">
        <v>45647</v>
      </c>
      <c r="C2183">
        <v>3</v>
      </c>
      <c r="D2183">
        <v>3.4</v>
      </c>
      <c r="E2183" s="4">
        <v>3.15</v>
      </c>
    </row>
    <row r="2184" spans="1:5" x14ac:dyDescent="0.35">
      <c r="A2184" s="1">
        <v>45648</v>
      </c>
      <c r="B2184" s="2">
        <v>45648</v>
      </c>
      <c r="C2184">
        <v>3</v>
      </c>
      <c r="D2184">
        <v>3.4</v>
      </c>
      <c r="E2184" s="4">
        <v>3.15</v>
      </c>
    </row>
    <row r="2185" spans="1:5" x14ac:dyDescent="0.35">
      <c r="A2185" s="1">
        <v>45649</v>
      </c>
      <c r="B2185" s="2">
        <v>45649</v>
      </c>
      <c r="C2185">
        <v>3</v>
      </c>
      <c r="D2185">
        <v>3.4</v>
      </c>
      <c r="E2185" s="4">
        <v>3.15</v>
      </c>
    </row>
    <row r="2186" spans="1:5" x14ac:dyDescent="0.35">
      <c r="A2186" s="1">
        <v>45650</v>
      </c>
      <c r="B2186" s="2">
        <v>45650</v>
      </c>
      <c r="C2186">
        <v>3</v>
      </c>
      <c r="D2186">
        <v>3.4</v>
      </c>
      <c r="E2186" s="4">
        <v>3.15</v>
      </c>
    </row>
    <row r="2187" spans="1:5" x14ac:dyDescent="0.35">
      <c r="A2187" s="1">
        <v>45651</v>
      </c>
      <c r="B2187" s="2">
        <v>45651</v>
      </c>
      <c r="C2187">
        <v>3</v>
      </c>
      <c r="D2187">
        <v>3.4</v>
      </c>
      <c r="E2187" s="4">
        <v>3.15</v>
      </c>
    </row>
    <row r="2188" spans="1:5" x14ac:dyDescent="0.35">
      <c r="A2188" s="1">
        <v>45652</v>
      </c>
      <c r="B2188" s="2">
        <v>45652</v>
      </c>
      <c r="C2188">
        <v>3</v>
      </c>
      <c r="D2188">
        <v>3.4</v>
      </c>
      <c r="E2188" s="4">
        <v>3.15</v>
      </c>
    </row>
    <row r="2189" spans="1:5" x14ac:dyDescent="0.35">
      <c r="A2189" s="1">
        <v>45653</v>
      </c>
      <c r="B2189" s="2">
        <v>45653</v>
      </c>
      <c r="C2189">
        <v>3</v>
      </c>
      <c r="D2189">
        <v>3.4</v>
      </c>
      <c r="E2189" s="4">
        <v>3.15</v>
      </c>
    </row>
    <row r="2190" spans="1:5" x14ac:dyDescent="0.35">
      <c r="A2190" s="1">
        <v>45654</v>
      </c>
      <c r="B2190" s="2">
        <v>45654</v>
      </c>
      <c r="C2190">
        <v>3</v>
      </c>
      <c r="D2190">
        <v>3.4</v>
      </c>
      <c r="E2190" s="4">
        <v>3.15</v>
      </c>
    </row>
    <row r="2191" spans="1:5" x14ac:dyDescent="0.35">
      <c r="A2191" s="1">
        <v>45655</v>
      </c>
      <c r="B2191" s="2">
        <v>45655</v>
      </c>
      <c r="C2191">
        <v>3</v>
      </c>
      <c r="D2191">
        <v>3.4</v>
      </c>
      <c r="E2191" s="4">
        <v>3.15</v>
      </c>
    </row>
    <row r="2192" spans="1:5" x14ac:dyDescent="0.35">
      <c r="A2192" s="1">
        <v>45656</v>
      </c>
      <c r="B2192" s="2">
        <v>45656</v>
      </c>
      <c r="C2192">
        <v>3</v>
      </c>
      <c r="D2192">
        <v>3.4</v>
      </c>
      <c r="E2192" s="4">
        <v>3.15</v>
      </c>
    </row>
    <row r="2193" spans="1:5" x14ac:dyDescent="0.35">
      <c r="A2193" s="1">
        <v>45657</v>
      </c>
      <c r="B2193" s="2">
        <v>45657</v>
      </c>
      <c r="C2193">
        <v>3</v>
      </c>
      <c r="D2193">
        <v>3.4</v>
      </c>
      <c r="E2193" s="4">
        <v>3.15</v>
      </c>
    </row>
    <row r="2194" spans="1:5" x14ac:dyDescent="0.35">
      <c r="A2194" s="1">
        <v>45658</v>
      </c>
      <c r="B2194" s="2">
        <v>45658</v>
      </c>
      <c r="C2194">
        <v>3</v>
      </c>
      <c r="D2194">
        <v>3.4</v>
      </c>
      <c r="E2194" s="4">
        <v>3.15</v>
      </c>
    </row>
    <row r="2195" spans="1:5" x14ac:dyDescent="0.35">
      <c r="A2195" s="1">
        <v>45659</v>
      </c>
      <c r="B2195" s="2">
        <v>45659</v>
      </c>
      <c r="C2195">
        <v>3</v>
      </c>
      <c r="D2195">
        <v>3.4</v>
      </c>
      <c r="E2195" s="4">
        <v>3.15</v>
      </c>
    </row>
    <row r="2196" spans="1:5" x14ac:dyDescent="0.35">
      <c r="A2196" s="1">
        <v>45660</v>
      </c>
      <c r="B2196" s="2">
        <v>45660</v>
      </c>
      <c r="C2196">
        <v>3</v>
      </c>
      <c r="D2196">
        <v>3.4</v>
      </c>
      <c r="E2196" s="4">
        <v>3.15</v>
      </c>
    </row>
    <row r="2197" spans="1:5" x14ac:dyDescent="0.35">
      <c r="A2197" s="1">
        <v>45661</v>
      </c>
      <c r="B2197" s="2">
        <v>45661</v>
      </c>
      <c r="C2197">
        <v>3</v>
      </c>
      <c r="D2197">
        <v>3.4</v>
      </c>
      <c r="E2197" s="4">
        <v>3.15</v>
      </c>
    </row>
    <row r="2198" spans="1:5" x14ac:dyDescent="0.35">
      <c r="A2198" s="1">
        <v>45662</v>
      </c>
      <c r="B2198" s="2">
        <v>45662</v>
      </c>
      <c r="C2198">
        <v>3</v>
      </c>
      <c r="D2198">
        <v>3.4</v>
      </c>
      <c r="E2198" s="4">
        <v>3.15</v>
      </c>
    </row>
    <row r="2199" spans="1:5" x14ac:dyDescent="0.35">
      <c r="A2199" s="1">
        <v>45663</v>
      </c>
      <c r="B2199" s="2">
        <v>45663</v>
      </c>
      <c r="C2199">
        <v>3</v>
      </c>
      <c r="D2199">
        <v>3.4</v>
      </c>
      <c r="E2199" s="4">
        <v>3.15</v>
      </c>
    </row>
    <row r="2200" spans="1:5" x14ac:dyDescent="0.35">
      <c r="A2200" s="1">
        <v>45664</v>
      </c>
      <c r="B2200" s="2">
        <v>45664</v>
      </c>
      <c r="C2200">
        <v>3</v>
      </c>
      <c r="D2200">
        <v>3.4</v>
      </c>
      <c r="E2200" s="4">
        <v>3.15</v>
      </c>
    </row>
    <row r="2201" spans="1:5" x14ac:dyDescent="0.35">
      <c r="A2201" s="1">
        <v>45665</v>
      </c>
      <c r="B2201" s="2">
        <v>45665</v>
      </c>
      <c r="C2201">
        <v>3</v>
      </c>
      <c r="D2201">
        <v>3.4</v>
      </c>
      <c r="E2201" s="4">
        <v>3.15</v>
      </c>
    </row>
    <row r="2202" spans="1:5" x14ac:dyDescent="0.35">
      <c r="A2202" s="1">
        <v>45666</v>
      </c>
      <c r="B2202" s="2">
        <v>45666</v>
      </c>
      <c r="C2202">
        <v>3</v>
      </c>
      <c r="D2202">
        <v>3.4</v>
      </c>
      <c r="E2202" s="4">
        <v>3.15</v>
      </c>
    </row>
    <row r="2203" spans="1:5" x14ac:dyDescent="0.35">
      <c r="A2203" s="1">
        <v>45667</v>
      </c>
      <c r="B2203" s="2">
        <v>45667</v>
      </c>
      <c r="C2203">
        <v>3</v>
      </c>
      <c r="D2203">
        <v>3.4</v>
      </c>
      <c r="E2203" s="4">
        <v>3.15</v>
      </c>
    </row>
    <row r="2204" spans="1:5" x14ac:dyDescent="0.35">
      <c r="A2204" s="1">
        <v>45668</v>
      </c>
      <c r="B2204" s="2">
        <v>45668</v>
      </c>
      <c r="C2204">
        <v>3</v>
      </c>
      <c r="D2204">
        <v>3.4</v>
      </c>
      <c r="E2204" s="4">
        <v>3.15</v>
      </c>
    </row>
    <row r="2205" spans="1:5" x14ac:dyDescent="0.35">
      <c r="A2205" s="1">
        <v>45669</v>
      </c>
      <c r="B2205" s="2">
        <v>45669</v>
      </c>
      <c r="C2205">
        <v>3</v>
      </c>
      <c r="D2205">
        <v>3.4</v>
      </c>
      <c r="E2205" s="4">
        <v>3.15</v>
      </c>
    </row>
    <row r="2206" spans="1:5" x14ac:dyDescent="0.35">
      <c r="A2206" s="1">
        <v>45670</v>
      </c>
      <c r="B2206" s="2">
        <v>45670</v>
      </c>
      <c r="C2206">
        <v>3</v>
      </c>
      <c r="D2206">
        <v>3.4</v>
      </c>
      <c r="E2206" s="4">
        <v>3.15</v>
      </c>
    </row>
    <row r="2207" spans="1:5" x14ac:dyDescent="0.35">
      <c r="A2207" s="1">
        <v>45671</v>
      </c>
      <c r="B2207" s="2">
        <v>45671</v>
      </c>
      <c r="C2207">
        <v>3</v>
      </c>
      <c r="D2207">
        <v>3.4</v>
      </c>
      <c r="E2207" s="4">
        <v>3.15</v>
      </c>
    </row>
    <row r="2208" spans="1:5" x14ac:dyDescent="0.35">
      <c r="A2208" s="1">
        <v>45672</v>
      </c>
      <c r="B2208" s="2">
        <v>45672</v>
      </c>
      <c r="C2208">
        <v>3</v>
      </c>
      <c r="D2208">
        <v>3.4</v>
      </c>
      <c r="E2208" s="4">
        <v>3.15</v>
      </c>
    </row>
    <row r="2209" spans="1:5" x14ac:dyDescent="0.35">
      <c r="A2209" s="1">
        <v>45673</v>
      </c>
      <c r="B2209" s="2">
        <v>45673</v>
      </c>
      <c r="C2209">
        <v>3</v>
      </c>
      <c r="D2209">
        <v>3.4</v>
      </c>
      <c r="E2209" s="4">
        <v>3.15</v>
      </c>
    </row>
    <row r="2210" spans="1:5" x14ac:dyDescent="0.35">
      <c r="A2210" s="1">
        <v>45674</v>
      </c>
      <c r="B2210" s="2">
        <v>45674</v>
      </c>
      <c r="C2210">
        <v>3</v>
      </c>
      <c r="D2210">
        <v>3.4</v>
      </c>
      <c r="E2210" s="4">
        <v>3.15</v>
      </c>
    </row>
    <row r="2211" spans="1:5" x14ac:dyDescent="0.35">
      <c r="A2211" s="1">
        <v>45675</v>
      </c>
      <c r="B2211" s="2">
        <v>45675</v>
      </c>
      <c r="C2211">
        <v>3</v>
      </c>
      <c r="D2211">
        <v>3.4</v>
      </c>
      <c r="E2211" s="4">
        <v>3.15</v>
      </c>
    </row>
    <row r="2212" spans="1:5" x14ac:dyDescent="0.35">
      <c r="A2212" s="1">
        <v>45676</v>
      </c>
      <c r="B2212" s="2">
        <v>45676</v>
      </c>
      <c r="C2212">
        <v>3</v>
      </c>
      <c r="D2212">
        <v>3.4</v>
      </c>
      <c r="E2212" s="4">
        <v>3.15</v>
      </c>
    </row>
    <row r="2213" spans="1:5" x14ac:dyDescent="0.35">
      <c r="A2213" s="1">
        <v>45677</v>
      </c>
      <c r="B2213" s="2">
        <v>45677</v>
      </c>
      <c r="C2213">
        <v>3</v>
      </c>
      <c r="D2213">
        <v>3.4</v>
      </c>
      <c r="E2213" s="4">
        <v>3.15</v>
      </c>
    </row>
    <row r="2214" spans="1:5" x14ac:dyDescent="0.35">
      <c r="A2214" s="1">
        <v>45678</v>
      </c>
      <c r="B2214" s="2">
        <v>45678</v>
      </c>
      <c r="C2214">
        <v>3</v>
      </c>
      <c r="D2214">
        <v>3.4</v>
      </c>
      <c r="E2214" s="4">
        <v>3.15</v>
      </c>
    </row>
    <row r="2215" spans="1:5" x14ac:dyDescent="0.35">
      <c r="A2215" s="1">
        <v>45679</v>
      </c>
      <c r="B2215" s="2">
        <v>45679</v>
      </c>
      <c r="C2215">
        <v>3</v>
      </c>
      <c r="D2215">
        <v>3.4</v>
      </c>
      <c r="E2215" s="4">
        <v>3.15</v>
      </c>
    </row>
    <row r="2216" spans="1:5" x14ac:dyDescent="0.35">
      <c r="A2216" s="1">
        <v>45680</v>
      </c>
      <c r="B2216" s="2">
        <v>45680</v>
      </c>
      <c r="C2216">
        <v>3</v>
      </c>
      <c r="D2216">
        <v>3.4</v>
      </c>
      <c r="E2216" s="4">
        <v>3.15</v>
      </c>
    </row>
    <row r="2217" spans="1:5" x14ac:dyDescent="0.35">
      <c r="A2217" s="1">
        <v>45681</v>
      </c>
      <c r="B2217" s="2">
        <v>45681</v>
      </c>
      <c r="C2217">
        <v>3</v>
      </c>
      <c r="D2217">
        <v>3.4</v>
      </c>
      <c r="E2217" s="4">
        <v>3.15</v>
      </c>
    </row>
    <row r="2218" spans="1:5" x14ac:dyDescent="0.35">
      <c r="A2218" s="1">
        <v>45682</v>
      </c>
      <c r="B2218" s="2">
        <v>45682</v>
      </c>
      <c r="C2218">
        <v>3</v>
      </c>
      <c r="D2218">
        <v>3.4</v>
      </c>
      <c r="E2218" s="4">
        <v>3.15</v>
      </c>
    </row>
    <row r="2219" spans="1:5" x14ac:dyDescent="0.35">
      <c r="A2219" s="1">
        <v>45683</v>
      </c>
      <c r="B2219" s="2">
        <v>45683</v>
      </c>
      <c r="C2219">
        <v>3</v>
      </c>
      <c r="D2219">
        <v>3.4</v>
      </c>
      <c r="E2219" s="4">
        <v>3.15</v>
      </c>
    </row>
    <row r="2220" spans="1:5" x14ac:dyDescent="0.35">
      <c r="A2220" s="1">
        <v>45684</v>
      </c>
      <c r="B2220" s="2">
        <v>45684</v>
      </c>
      <c r="C2220">
        <v>3</v>
      </c>
      <c r="D2220">
        <v>3.4</v>
      </c>
      <c r="E2220" s="4">
        <v>3.15</v>
      </c>
    </row>
    <row r="2221" spans="1:5" x14ac:dyDescent="0.35">
      <c r="A2221" s="1">
        <v>45685</v>
      </c>
      <c r="B2221" s="2">
        <v>45685</v>
      </c>
      <c r="C2221">
        <v>3</v>
      </c>
      <c r="D2221">
        <v>3.4</v>
      </c>
      <c r="E2221" s="4">
        <v>3.15</v>
      </c>
    </row>
    <row r="2222" spans="1:5" x14ac:dyDescent="0.35">
      <c r="A2222" s="1">
        <v>45686</v>
      </c>
      <c r="B2222" s="2">
        <v>45686</v>
      </c>
      <c r="C2222">
        <v>3</v>
      </c>
      <c r="D2222">
        <v>3.4</v>
      </c>
      <c r="E2222" s="4">
        <v>3.15</v>
      </c>
    </row>
    <row r="2223" spans="1:5" x14ac:dyDescent="0.35">
      <c r="A2223" s="1">
        <v>45687</v>
      </c>
      <c r="B2223" s="2">
        <v>45687</v>
      </c>
      <c r="C2223">
        <v>3</v>
      </c>
      <c r="D2223">
        <v>3.4</v>
      </c>
      <c r="E2223" s="4">
        <v>3.15</v>
      </c>
    </row>
    <row r="2224" spans="1:5" x14ac:dyDescent="0.35">
      <c r="A2224" s="1">
        <v>45688</v>
      </c>
      <c r="B2224" s="2">
        <v>45688</v>
      </c>
      <c r="C2224">
        <v>3</v>
      </c>
      <c r="D2224">
        <v>3.4</v>
      </c>
      <c r="E2224" s="4">
        <v>3.15</v>
      </c>
    </row>
    <row r="2225" spans="1:5" x14ac:dyDescent="0.35">
      <c r="A2225" s="1">
        <v>45689</v>
      </c>
      <c r="B2225" s="2">
        <v>45689</v>
      </c>
      <c r="C2225">
        <v>3</v>
      </c>
      <c r="D2225">
        <v>3.4</v>
      </c>
      <c r="E2225" s="4">
        <v>3.15</v>
      </c>
    </row>
    <row r="2226" spans="1:5" x14ac:dyDescent="0.35">
      <c r="A2226" s="1">
        <v>45690</v>
      </c>
      <c r="B2226" s="2">
        <v>45690</v>
      </c>
      <c r="C2226">
        <v>3</v>
      </c>
      <c r="D2226">
        <v>3.4</v>
      </c>
      <c r="E2226" s="4">
        <v>3.15</v>
      </c>
    </row>
    <row r="2227" spans="1:5" x14ac:dyDescent="0.35">
      <c r="A2227" s="1">
        <v>45691</v>
      </c>
      <c r="B2227" s="2">
        <v>45691</v>
      </c>
      <c r="C2227">
        <v>3</v>
      </c>
      <c r="D2227">
        <v>3.4</v>
      </c>
      <c r="E2227" s="4">
        <v>3.15</v>
      </c>
    </row>
    <row r="2228" spans="1:5" x14ac:dyDescent="0.35">
      <c r="A2228" s="1">
        <v>45692</v>
      </c>
      <c r="B2228" s="2">
        <v>45692</v>
      </c>
      <c r="C2228">
        <v>3</v>
      </c>
      <c r="D2228">
        <v>3.4</v>
      </c>
      <c r="E2228" s="4">
        <v>3.15</v>
      </c>
    </row>
    <row r="2229" spans="1:5" x14ac:dyDescent="0.35">
      <c r="A2229" s="1">
        <v>45693</v>
      </c>
      <c r="B2229" s="2">
        <v>45693</v>
      </c>
      <c r="C2229">
        <v>2.75</v>
      </c>
      <c r="D2229">
        <v>3.15</v>
      </c>
      <c r="E2229" s="4">
        <v>2.9</v>
      </c>
    </row>
    <row r="2230" spans="1:5" x14ac:dyDescent="0.35">
      <c r="A2230" s="1">
        <v>45694</v>
      </c>
      <c r="B2230" s="2">
        <v>45694</v>
      </c>
      <c r="C2230">
        <v>2.75</v>
      </c>
      <c r="D2230">
        <v>3.15</v>
      </c>
      <c r="E2230" s="4">
        <v>2.9</v>
      </c>
    </row>
    <row r="2231" spans="1:5" x14ac:dyDescent="0.35">
      <c r="A2231" s="1">
        <v>45695</v>
      </c>
      <c r="B2231" s="2">
        <v>45695</v>
      </c>
      <c r="C2231">
        <v>2.75</v>
      </c>
      <c r="D2231">
        <v>3.15</v>
      </c>
      <c r="E2231" s="4">
        <v>2.9</v>
      </c>
    </row>
    <row r="2232" spans="1:5" x14ac:dyDescent="0.35">
      <c r="A2232" s="1">
        <v>45696</v>
      </c>
      <c r="B2232" s="2">
        <v>45696</v>
      </c>
      <c r="C2232">
        <v>2.75</v>
      </c>
      <c r="D2232">
        <v>3.15</v>
      </c>
      <c r="E2232" s="4">
        <v>2.9</v>
      </c>
    </row>
    <row r="2233" spans="1:5" x14ac:dyDescent="0.35">
      <c r="A2233" s="1">
        <v>45697</v>
      </c>
      <c r="B2233" s="2">
        <v>45697</v>
      </c>
      <c r="C2233">
        <v>2.75</v>
      </c>
      <c r="D2233">
        <v>3.15</v>
      </c>
      <c r="E2233" s="4">
        <v>2.9</v>
      </c>
    </row>
    <row r="2234" spans="1:5" x14ac:dyDescent="0.35">
      <c r="A2234" s="1">
        <v>45698</v>
      </c>
      <c r="B2234" s="2">
        <v>45698</v>
      </c>
      <c r="C2234">
        <v>2.75</v>
      </c>
      <c r="D2234">
        <v>3.15</v>
      </c>
      <c r="E2234" s="4">
        <v>2.9</v>
      </c>
    </row>
    <row r="2235" spans="1:5" x14ac:dyDescent="0.35">
      <c r="A2235" s="1">
        <v>45699</v>
      </c>
      <c r="B2235" s="2">
        <v>45699</v>
      </c>
      <c r="C2235">
        <v>2.75</v>
      </c>
      <c r="D2235">
        <v>3.15</v>
      </c>
      <c r="E2235" s="4">
        <v>2.9</v>
      </c>
    </row>
    <row r="2236" spans="1:5" x14ac:dyDescent="0.35">
      <c r="A2236" s="1">
        <v>45700</v>
      </c>
      <c r="B2236" s="2">
        <v>45700</v>
      </c>
      <c r="C2236">
        <v>2.75</v>
      </c>
      <c r="D2236">
        <v>3.15</v>
      </c>
      <c r="E2236" s="4">
        <v>2.9</v>
      </c>
    </row>
    <row r="2237" spans="1:5" x14ac:dyDescent="0.35">
      <c r="A2237" s="1">
        <v>45701</v>
      </c>
      <c r="B2237" s="2">
        <v>45701</v>
      </c>
      <c r="C2237">
        <v>2.75</v>
      </c>
      <c r="D2237">
        <v>3.15</v>
      </c>
      <c r="E2237" s="4">
        <v>2.9</v>
      </c>
    </row>
    <row r="2238" spans="1:5" x14ac:dyDescent="0.35">
      <c r="A2238" s="1">
        <v>45702</v>
      </c>
      <c r="B2238" s="2">
        <v>45702</v>
      </c>
      <c r="C2238">
        <v>2.75</v>
      </c>
      <c r="D2238">
        <v>3.15</v>
      </c>
      <c r="E2238" s="4">
        <v>2.9</v>
      </c>
    </row>
    <row r="2239" spans="1:5" x14ac:dyDescent="0.35">
      <c r="A2239" s="1">
        <v>45703</v>
      </c>
      <c r="B2239" s="2">
        <v>45703</v>
      </c>
      <c r="C2239">
        <v>2.75</v>
      </c>
      <c r="D2239">
        <v>3.15</v>
      </c>
      <c r="E2239" s="4">
        <v>2.9</v>
      </c>
    </row>
    <row r="2240" spans="1:5" x14ac:dyDescent="0.35">
      <c r="A2240" s="1">
        <v>45704</v>
      </c>
      <c r="B2240" s="2">
        <v>45704</v>
      </c>
      <c r="C2240">
        <v>2.75</v>
      </c>
      <c r="D2240">
        <v>3.15</v>
      </c>
      <c r="E2240" s="4">
        <v>2.9</v>
      </c>
    </row>
    <row r="2241" spans="1:5" x14ac:dyDescent="0.35">
      <c r="A2241" s="1">
        <v>45705</v>
      </c>
      <c r="B2241" s="2">
        <v>45705</v>
      </c>
      <c r="C2241">
        <v>2.75</v>
      </c>
      <c r="D2241">
        <v>3.15</v>
      </c>
      <c r="E2241" s="4">
        <v>2.9</v>
      </c>
    </row>
    <row r="2242" spans="1:5" x14ac:dyDescent="0.35">
      <c r="A2242" s="1">
        <v>45706</v>
      </c>
      <c r="B2242" s="2">
        <v>45706</v>
      </c>
      <c r="C2242">
        <v>2.75</v>
      </c>
      <c r="D2242">
        <v>3.15</v>
      </c>
      <c r="E2242" s="4">
        <v>2.9</v>
      </c>
    </row>
    <row r="2243" spans="1:5" x14ac:dyDescent="0.35">
      <c r="A2243" s="1">
        <v>45707</v>
      </c>
      <c r="B2243" s="2">
        <v>45707</v>
      </c>
      <c r="C2243">
        <v>2.75</v>
      </c>
      <c r="D2243">
        <v>3.15</v>
      </c>
      <c r="E2243" s="4">
        <v>2.9</v>
      </c>
    </row>
    <row r="2244" spans="1:5" x14ac:dyDescent="0.35">
      <c r="A2244" s="1">
        <v>45708</v>
      </c>
      <c r="B2244" s="2">
        <v>45708</v>
      </c>
      <c r="C2244">
        <v>2.75</v>
      </c>
      <c r="D2244">
        <v>3.15</v>
      </c>
      <c r="E2244" s="4">
        <v>2.9</v>
      </c>
    </row>
    <row r="2245" spans="1:5" x14ac:dyDescent="0.35">
      <c r="A2245" s="1">
        <v>45709</v>
      </c>
      <c r="B2245" s="2">
        <v>45709</v>
      </c>
      <c r="C2245">
        <v>2.75</v>
      </c>
      <c r="D2245">
        <v>3.15</v>
      </c>
      <c r="E2245" s="4">
        <v>2.9</v>
      </c>
    </row>
    <row r="2246" spans="1:5" x14ac:dyDescent="0.35">
      <c r="A2246" s="1">
        <v>45710</v>
      </c>
      <c r="B2246" s="2">
        <v>45710</v>
      </c>
      <c r="C2246">
        <v>2.75</v>
      </c>
      <c r="D2246">
        <v>3.15</v>
      </c>
      <c r="E2246" s="4">
        <v>2.9</v>
      </c>
    </row>
    <row r="2247" spans="1:5" x14ac:dyDescent="0.35">
      <c r="A2247" s="1">
        <v>45711</v>
      </c>
      <c r="B2247" s="2">
        <v>45711</v>
      </c>
      <c r="C2247">
        <v>2.75</v>
      </c>
      <c r="D2247">
        <v>3.15</v>
      </c>
      <c r="E2247" s="4">
        <v>2.9</v>
      </c>
    </row>
    <row r="2248" spans="1:5" x14ac:dyDescent="0.35">
      <c r="A2248" s="1">
        <v>45712</v>
      </c>
      <c r="B2248" s="2">
        <v>45712</v>
      </c>
      <c r="C2248">
        <v>2.75</v>
      </c>
      <c r="D2248">
        <v>3.15</v>
      </c>
      <c r="E2248" s="4">
        <v>2.9</v>
      </c>
    </row>
    <row r="2249" spans="1:5" x14ac:dyDescent="0.35">
      <c r="A2249" s="1">
        <v>45713</v>
      </c>
      <c r="B2249" s="2">
        <v>45713</v>
      </c>
      <c r="C2249">
        <v>2.75</v>
      </c>
      <c r="D2249">
        <v>3.15</v>
      </c>
      <c r="E2249" s="4">
        <v>2.9</v>
      </c>
    </row>
    <row r="2250" spans="1:5" x14ac:dyDescent="0.35">
      <c r="A2250" s="1">
        <v>45714</v>
      </c>
      <c r="B2250" s="2">
        <v>45714</v>
      </c>
      <c r="C2250">
        <v>2.75</v>
      </c>
      <c r="D2250">
        <v>3.15</v>
      </c>
      <c r="E2250" s="4">
        <v>2.9</v>
      </c>
    </row>
    <row r="2251" spans="1:5" x14ac:dyDescent="0.35">
      <c r="A2251" s="1">
        <v>45715</v>
      </c>
      <c r="B2251" s="2">
        <v>45715</v>
      </c>
      <c r="C2251">
        <v>2.75</v>
      </c>
      <c r="D2251">
        <v>3.15</v>
      </c>
      <c r="E2251" s="4">
        <v>2.9</v>
      </c>
    </row>
    <row r="2252" spans="1:5" x14ac:dyDescent="0.35">
      <c r="A2252" s="1">
        <v>45716</v>
      </c>
      <c r="B2252" s="2">
        <v>45716</v>
      </c>
      <c r="C2252">
        <v>2.75</v>
      </c>
      <c r="D2252">
        <v>3.15</v>
      </c>
      <c r="E2252" s="4">
        <v>2.9</v>
      </c>
    </row>
    <row r="2253" spans="1:5" x14ac:dyDescent="0.35">
      <c r="A2253" s="1">
        <v>45717</v>
      </c>
      <c r="B2253" s="2">
        <v>45717</v>
      </c>
      <c r="C2253">
        <v>2.75</v>
      </c>
      <c r="D2253">
        <v>3.15</v>
      </c>
      <c r="E2253" s="4">
        <v>2.9</v>
      </c>
    </row>
    <row r="2254" spans="1:5" x14ac:dyDescent="0.35">
      <c r="A2254" s="1">
        <v>45718</v>
      </c>
      <c r="B2254" s="2">
        <v>45718</v>
      </c>
      <c r="C2254">
        <v>2.75</v>
      </c>
      <c r="D2254">
        <v>3.15</v>
      </c>
      <c r="E2254" s="4">
        <v>2.9</v>
      </c>
    </row>
    <row r="2255" spans="1:5" x14ac:dyDescent="0.35">
      <c r="A2255" s="1">
        <v>45719</v>
      </c>
      <c r="B2255" s="2">
        <v>45719</v>
      </c>
      <c r="C2255">
        <v>2.75</v>
      </c>
      <c r="D2255">
        <v>3.15</v>
      </c>
      <c r="E2255" s="4">
        <v>2.9</v>
      </c>
    </row>
    <row r="2256" spans="1:5" x14ac:dyDescent="0.35">
      <c r="A2256" s="1">
        <v>45720</v>
      </c>
      <c r="B2256" s="2">
        <v>45720</v>
      </c>
      <c r="C2256">
        <v>2.75</v>
      </c>
      <c r="D2256">
        <v>3.15</v>
      </c>
      <c r="E2256" s="4">
        <v>2.9</v>
      </c>
    </row>
    <row r="2257" spans="1:5" x14ac:dyDescent="0.35">
      <c r="A2257" s="1">
        <v>45721</v>
      </c>
      <c r="B2257" s="2">
        <v>45721</v>
      </c>
      <c r="C2257">
        <v>2.75</v>
      </c>
      <c r="D2257">
        <v>3.15</v>
      </c>
      <c r="E2257" s="4">
        <v>2.9</v>
      </c>
    </row>
    <row r="2258" spans="1:5" x14ac:dyDescent="0.35">
      <c r="A2258" s="1">
        <v>45722</v>
      </c>
      <c r="B2258" s="2">
        <v>45722</v>
      </c>
      <c r="C2258">
        <v>2.75</v>
      </c>
      <c r="D2258">
        <v>3.15</v>
      </c>
      <c r="E2258" s="4">
        <v>2.9</v>
      </c>
    </row>
    <row r="2259" spans="1:5" x14ac:dyDescent="0.35">
      <c r="A2259" s="1">
        <v>45723</v>
      </c>
      <c r="B2259" s="2">
        <v>45723</v>
      </c>
      <c r="C2259">
        <v>2.75</v>
      </c>
      <c r="D2259">
        <v>3.15</v>
      </c>
      <c r="E2259" s="4">
        <v>2.9</v>
      </c>
    </row>
    <row r="2260" spans="1:5" x14ac:dyDescent="0.35">
      <c r="A2260" s="1">
        <v>45724</v>
      </c>
      <c r="B2260" s="2">
        <v>45724</v>
      </c>
      <c r="C2260">
        <v>2.75</v>
      </c>
      <c r="D2260">
        <v>3.15</v>
      </c>
      <c r="E2260" s="4">
        <v>2.9</v>
      </c>
    </row>
    <row r="2261" spans="1:5" x14ac:dyDescent="0.35">
      <c r="A2261" s="1">
        <v>45725</v>
      </c>
      <c r="B2261" s="2">
        <v>45725</v>
      </c>
      <c r="C2261">
        <v>2.75</v>
      </c>
      <c r="D2261">
        <v>3.15</v>
      </c>
      <c r="E2261" s="4">
        <v>2.9</v>
      </c>
    </row>
    <row r="2262" spans="1:5" x14ac:dyDescent="0.35">
      <c r="A2262" s="1">
        <v>45726</v>
      </c>
      <c r="B2262" s="2">
        <v>45726</v>
      </c>
      <c r="C2262">
        <v>2.75</v>
      </c>
      <c r="D2262">
        <v>3.15</v>
      </c>
      <c r="E2262" s="4">
        <v>2.9</v>
      </c>
    </row>
    <row r="2263" spans="1:5" x14ac:dyDescent="0.35">
      <c r="A2263" s="1">
        <v>45727</v>
      </c>
      <c r="B2263" s="2">
        <v>45727</v>
      </c>
      <c r="C2263">
        <v>2.75</v>
      </c>
      <c r="D2263">
        <v>3.15</v>
      </c>
      <c r="E2263" s="4">
        <v>2.9</v>
      </c>
    </row>
    <row r="2264" spans="1:5" x14ac:dyDescent="0.35">
      <c r="A2264" s="1">
        <v>45728</v>
      </c>
      <c r="B2264" s="2">
        <v>45728</v>
      </c>
      <c r="C2264">
        <v>2.5</v>
      </c>
      <c r="D2264">
        <v>2.9</v>
      </c>
      <c r="E2264" s="4">
        <v>2.65</v>
      </c>
    </row>
    <row r="2265" spans="1:5" x14ac:dyDescent="0.35">
      <c r="A2265" s="1">
        <v>45729</v>
      </c>
      <c r="B2265" s="2">
        <v>45729</v>
      </c>
      <c r="C2265">
        <v>2.5</v>
      </c>
      <c r="D2265">
        <v>2.9</v>
      </c>
      <c r="E2265" s="4">
        <v>2.65</v>
      </c>
    </row>
    <row r="2266" spans="1:5" x14ac:dyDescent="0.35">
      <c r="A2266" s="1">
        <v>45730</v>
      </c>
      <c r="B2266" s="2">
        <v>45730</v>
      </c>
      <c r="C2266">
        <v>2.5</v>
      </c>
      <c r="D2266">
        <v>2.9</v>
      </c>
      <c r="E2266" s="4">
        <v>2.65</v>
      </c>
    </row>
    <row r="2267" spans="1:5" x14ac:dyDescent="0.35">
      <c r="A2267" s="1">
        <v>45731</v>
      </c>
      <c r="B2267" s="2">
        <v>45731</v>
      </c>
      <c r="C2267">
        <v>2.5</v>
      </c>
      <c r="D2267">
        <v>2.9</v>
      </c>
      <c r="E2267" s="4">
        <v>2.65</v>
      </c>
    </row>
    <row r="2268" spans="1:5" x14ac:dyDescent="0.35">
      <c r="A2268" s="1">
        <v>45732</v>
      </c>
      <c r="B2268" s="2">
        <v>45732</v>
      </c>
      <c r="C2268">
        <v>2.5</v>
      </c>
      <c r="D2268">
        <v>2.9</v>
      </c>
      <c r="E2268" s="4">
        <v>2.65</v>
      </c>
    </row>
    <row r="2269" spans="1:5" x14ac:dyDescent="0.35">
      <c r="A2269" s="1">
        <v>45733</v>
      </c>
      <c r="B2269" s="2">
        <v>45733</v>
      </c>
      <c r="C2269">
        <v>2.5</v>
      </c>
      <c r="D2269">
        <v>2.9</v>
      </c>
      <c r="E2269" s="4">
        <v>2.65</v>
      </c>
    </row>
    <row r="2270" spans="1:5" x14ac:dyDescent="0.35">
      <c r="A2270" s="1">
        <v>45734</v>
      </c>
      <c r="B2270" s="2">
        <v>45734</v>
      </c>
      <c r="C2270">
        <v>2.5</v>
      </c>
      <c r="D2270">
        <v>2.9</v>
      </c>
      <c r="E2270" s="4">
        <v>2.65</v>
      </c>
    </row>
    <row r="2271" spans="1:5" x14ac:dyDescent="0.35">
      <c r="A2271" s="1">
        <v>45735</v>
      </c>
      <c r="B2271" s="2">
        <v>45735</v>
      </c>
      <c r="C2271">
        <v>2.5</v>
      </c>
      <c r="D2271">
        <v>2.9</v>
      </c>
      <c r="E2271" s="4">
        <v>2.65</v>
      </c>
    </row>
    <row r="2272" spans="1:5" x14ac:dyDescent="0.35">
      <c r="A2272" s="1">
        <v>45736</v>
      </c>
      <c r="B2272" s="2">
        <v>45736</v>
      </c>
      <c r="C2272">
        <v>2.5</v>
      </c>
      <c r="D2272">
        <v>2.9</v>
      </c>
      <c r="E2272" s="4">
        <v>2.65</v>
      </c>
    </row>
    <row r="2273" spans="1:5" x14ac:dyDescent="0.35">
      <c r="A2273" s="1">
        <v>45737</v>
      </c>
      <c r="B2273" s="2">
        <v>45737</v>
      </c>
      <c r="C2273">
        <v>2.5</v>
      </c>
      <c r="D2273">
        <v>2.9</v>
      </c>
      <c r="E2273" s="4">
        <v>2.65</v>
      </c>
    </row>
    <row r="2274" spans="1:5" x14ac:dyDescent="0.35">
      <c r="A2274" s="1">
        <v>45738</v>
      </c>
      <c r="B2274" s="2">
        <v>45738</v>
      </c>
      <c r="C2274">
        <v>2.5</v>
      </c>
      <c r="D2274">
        <v>2.9</v>
      </c>
      <c r="E2274" s="4">
        <v>2.65</v>
      </c>
    </row>
    <row r="2275" spans="1:5" x14ac:dyDescent="0.35">
      <c r="A2275" s="1">
        <v>45739</v>
      </c>
      <c r="B2275" s="2">
        <v>45739</v>
      </c>
      <c r="C2275">
        <v>2.5</v>
      </c>
      <c r="D2275">
        <v>2.9</v>
      </c>
      <c r="E2275" s="4">
        <v>2.65</v>
      </c>
    </row>
    <row r="2276" spans="1:5" x14ac:dyDescent="0.35">
      <c r="A2276" s="1">
        <v>45740</v>
      </c>
      <c r="B2276" s="2">
        <v>45740</v>
      </c>
      <c r="C2276">
        <v>2.5</v>
      </c>
      <c r="D2276">
        <v>2.9</v>
      </c>
      <c r="E2276" s="4">
        <v>2.65</v>
      </c>
    </row>
    <row r="2277" spans="1:5" x14ac:dyDescent="0.35">
      <c r="A2277" s="1">
        <v>45741</v>
      </c>
      <c r="B2277" s="2">
        <v>45741</v>
      </c>
      <c r="C2277">
        <v>2.5</v>
      </c>
      <c r="D2277">
        <v>2.9</v>
      </c>
      <c r="E2277" s="4">
        <v>2.65</v>
      </c>
    </row>
    <row r="2278" spans="1:5" x14ac:dyDescent="0.35">
      <c r="A2278" s="1">
        <v>45742</v>
      </c>
      <c r="B2278" s="2">
        <v>45742</v>
      </c>
      <c r="C2278">
        <v>2.5</v>
      </c>
      <c r="D2278">
        <v>2.9</v>
      </c>
      <c r="E2278" s="4">
        <v>2.65</v>
      </c>
    </row>
    <row r="2279" spans="1:5" x14ac:dyDescent="0.35">
      <c r="A2279" s="1">
        <v>45743</v>
      </c>
      <c r="B2279" s="2">
        <v>45743</v>
      </c>
      <c r="C2279">
        <v>2.5</v>
      </c>
      <c r="D2279">
        <v>2.9</v>
      </c>
      <c r="E2279" s="4">
        <v>2.65</v>
      </c>
    </row>
    <row r="2280" spans="1:5" x14ac:dyDescent="0.35">
      <c r="A2280" s="1">
        <v>45744</v>
      </c>
      <c r="B2280" s="2">
        <v>45744</v>
      </c>
      <c r="C2280">
        <v>2.5</v>
      </c>
      <c r="D2280">
        <v>2.9</v>
      </c>
      <c r="E2280" s="4">
        <v>2.65</v>
      </c>
    </row>
    <row r="2281" spans="1:5" x14ac:dyDescent="0.35">
      <c r="A2281" s="1">
        <v>45745</v>
      </c>
      <c r="B2281" s="2">
        <v>45745</v>
      </c>
      <c r="C2281">
        <v>2.5</v>
      </c>
      <c r="D2281">
        <v>2.9</v>
      </c>
      <c r="E2281" s="4">
        <v>2.65</v>
      </c>
    </row>
    <row r="2282" spans="1:5" x14ac:dyDescent="0.35">
      <c r="A2282" s="1">
        <v>45746</v>
      </c>
      <c r="B2282" s="2">
        <v>45746</v>
      </c>
      <c r="C2282">
        <v>2.5</v>
      </c>
      <c r="D2282">
        <v>2.9</v>
      </c>
      <c r="E2282" s="4">
        <v>2.65</v>
      </c>
    </row>
    <row r="2283" spans="1:5" x14ac:dyDescent="0.35">
      <c r="A2283" s="1">
        <v>45747</v>
      </c>
      <c r="B2283" s="2">
        <v>45747</v>
      </c>
      <c r="C2283">
        <v>2.5</v>
      </c>
      <c r="D2283">
        <v>2.9</v>
      </c>
      <c r="E2283" s="4">
        <v>2.65</v>
      </c>
    </row>
    <row r="2284" spans="1:5" x14ac:dyDescent="0.35">
      <c r="A2284" s="1">
        <v>45748</v>
      </c>
      <c r="B2284" s="2">
        <v>45748</v>
      </c>
      <c r="C2284">
        <v>2.5</v>
      </c>
      <c r="D2284">
        <v>2.9</v>
      </c>
      <c r="E2284" s="4">
        <v>2.65</v>
      </c>
    </row>
    <row r="2285" spans="1:5" x14ac:dyDescent="0.35">
      <c r="A2285" s="1">
        <v>45749</v>
      </c>
      <c r="B2285" s="2">
        <v>45749</v>
      </c>
      <c r="C2285">
        <v>2.5</v>
      </c>
      <c r="D2285">
        <v>2.9</v>
      </c>
      <c r="E2285" s="4">
        <v>2.65</v>
      </c>
    </row>
    <row r="2286" spans="1:5" x14ac:dyDescent="0.35">
      <c r="A2286" s="1">
        <v>45750</v>
      </c>
      <c r="B2286" s="2">
        <v>45750</v>
      </c>
      <c r="C2286">
        <v>2.5</v>
      </c>
      <c r="D2286">
        <v>2.9</v>
      </c>
      <c r="E2286" s="4">
        <v>2.65</v>
      </c>
    </row>
    <row r="2287" spans="1:5" x14ac:dyDescent="0.35">
      <c r="A2287" s="1">
        <v>45751</v>
      </c>
      <c r="B2287" s="2">
        <v>45751</v>
      </c>
      <c r="C2287">
        <v>2.5</v>
      </c>
      <c r="D2287">
        <v>2.9</v>
      </c>
      <c r="E2287" s="4">
        <v>2.65</v>
      </c>
    </row>
    <row r="2288" spans="1:5" x14ac:dyDescent="0.35">
      <c r="A2288" s="1">
        <v>45752</v>
      </c>
      <c r="B2288" s="2">
        <v>45752</v>
      </c>
      <c r="C2288">
        <v>2.5</v>
      </c>
      <c r="D2288">
        <v>2.9</v>
      </c>
      <c r="E2288" s="4">
        <v>2.65</v>
      </c>
    </row>
    <row r="2289" spans="1:5" x14ac:dyDescent="0.35">
      <c r="A2289" s="1">
        <v>45753</v>
      </c>
      <c r="B2289" s="2">
        <v>45753</v>
      </c>
      <c r="C2289">
        <v>2.5</v>
      </c>
      <c r="D2289">
        <v>2.9</v>
      </c>
      <c r="E2289" s="4">
        <v>2.65</v>
      </c>
    </row>
    <row r="2290" spans="1:5" x14ac:dyDescent="0.35">
      <c r="A2290" s="1">
        <v>45754</v>
      </c>
      <c r="B2290" s="2">
        <v>45754</v>
      </c>
      <c r="C2290">
        <v>2.5</v>
      </c>
      <c r="D2290">
        <v>2.9</v>
      </c>
      <c r="E2290" s="4">
        <v>2.65</v>
      </c>
    </row>
    <row r="2291" spans="1:5" x14ac:dyDescent="0.35">
      <c r="A2291" s="1">
        <v>45755</v>
      </c>
      <c r="B2291" s="2">
        <v>45755</v>
      </c>
      <c r="C2291">
        <v>2.5</v>
      </c>
      <c r="D2291">
        <v>2.9</v>
      </c>
      <c r="E2291" s="4">
        <v>2.65</v>
      </c>
    </row>
    <row r="2292" spans="1:5" x14ac:dyDescent="0.35">
      <c r="A2292" s="1">
        <v>45756</v>
      </c>
      <c r="B2292" s="2">
        <v>45756</v>
      </c>
      <c r="C2292">
        <v>2.5</v>
      </c>
      <c r="D2292">
        <v>2.9</v>
      </c>
      <c r="E2292" s="4">
        <v>2.65</v>
      </c>
    </row>
    <row r="2293" spans="1:5" x14ac:dyDescent="0.35">
      <c r="A2293" s="1">
        <v>45757</v>
      </c>
      <c r="B2293" s="2">
        <v>45757</v>
      </c>
      <c r="C2293">
        <v>2.5</v>
      </c>
      <c r="D2293">
        <v>2.9</v>
      </c>
      <c r="E2293" s="4">
        <v>2.65</v>
      </c>
    </row>
    <row r="2294" spans="1:5" x14ac:dyDescent="0.35">
      <c r="A2294" s="1">
        <v>45758</v>
      </c>
      <c r="B2294" s="2">
        <v>45758</v>
      </c>
      <c r="C2294">
        <v>2.5</v>
      </c>
      <c r="D2294">
        <v>2.9</v>
      </c>
      <c r="E2294" s="4">
        <v>2.65</v>
      </c>
    </row>
    <row r="2295" spans="1:5" x14ac:dyDescent="0.35">
      <c r="A2295" s="1">
        <v>45759</v>
      </c>
      <c r="B2295" s="2">
        <v>45759</v>
      </c>
      <c r="C2295">
        <v>2.5</v>
      </c>
      <c r="D2295">
        <v>2.9</v>
      </c>
      <c r="E2295" s="4">
        <v>2.65</v>
      </c>
    </row>
    <row r="2296" spans="1:5" x14ac:dyDescent="0.35">
      <c r="A2296" s="1">
        <v>45760</v>
      </c>
      <c r="B2296" s="2">
        <v>45760</v>
      </c>
      <c r="C2296">
        <v>2.5</v>
      </c>
      <c r="D2296">
        <v>2.9</v>
      </c>
      <c r="E2296" s="4">
        <v>2.65</v>
      </c>
    </row>
    <row r="2297" spans="1:5" x14ac:dyDescent="0.35">
      <c r="A2297" s="1">
        <v>45761</v>
      </c>
      <c r="B2297" s="2">
        <v>45761</v>
      </c>
      <c r="C2297">
        <v>2.5</v>
      </c>
      <c r="D2297">
        <v>2.9</v>
      </c>
      <c r="E2297" s="4">
        <v>2.65</v>
      </c>
    </row>
    <row r="2298" spans="1:5" x14ac:dyDescent="0.35">
      <c r="A2298" s="1">
        <v>45762</v>
      </c>
      <c r="B2298" s="2">
        <v>45762</v>
      </c>
      <c r="C2298">
        <v>2.5</v>
      </c>
      <c r="D2298">
        <v>2.9</v>
      </c>
      <c r="E2298" s="4">
        <v>2.65</v>
      </c>
    </row>
    <row r="2299" spans="1:5" x14ac:dyDescent="0.35">
      <c r="A2299" s="1">
        <v>45763</v>
      </c>
      <c r="B2299" s="2">
        <v>45763</v>
      </c>
      <c r="C2299">
        <v>2.5</v>
      </c>
      <c r="D2299">
        <v>2.9</v>
      </c>
      <c r="E2299" s="4">
        <v>2.65</v>
      </c>
    </row>
    <row r="2300" spans="1:5" x14ac:dyDescent="0.35">
      <c r="A2300" s="1">
        <v>45764</v>
      </c>
      <c r="B2300" s="2">
        <v>45764</v>
      </c>
      <c r="C2300">
        <v>2.5</v>
      </c>
      <c r="D2300">
        <v>2.9</v>
      </c>
      <c r="E2300" s="4">
        <v>2.65</v>
      </c>
    </row>
    <row r="2301" spans="1:5" x14ac:dyDescent="0.35">
      <c r="A2301" s="1">
        <v>45765</v>
      </c>
      <c r="B2301" s="2">
        <v>45765</v>
      </c>
      <c r="C2301">
        <v>2.5</v>
      </c>
      <c r="D2301">
        <v>2.9</v>
      </c>
      <c r="E2301" s="4">
        <v>2.65</v>
      </c>
    </row>
    <row r="2302" spans="1:5" x14ac:dyDescent="0.35">
      <c r="A2302" s="1">
        <v>45766</v>
      </c>
      <c r="B2302" s="2">
        <v>45766</v>
      </c>
      <c r="C2302">
        <v>2.5</v>
      </c>
      <c r="D2302">
        <v>2.9</v>
      </c>
      <c r="E2302" s="4">
        <v>2.65</v>
      </c>
    </row>
    <row r="2303" spans="1:5" x14ac:dyDescent="0.35">
      <c r="A2303" s="1">
        <v>45767</v>
      </c>
      <c r="B2303" s="2">
        <v>45767</v>
      </c>
      <c r="C2303">
        <v>2.5</v>
      </c>
      <c r="D2303">
        <v>2.9</v>
      </c>
      <c r="E2303" s="4">
        <v>2.65</v>
      </c>
    </row>
    <row r="2304" spans="1:5" x14ac:dyDescent="0.35">
      <c r="A2304" s="1">
        <v>45768</v>
      </c>
      <c r="B2304" s="2">
        <v>45768</v>
      </c>
      <c r="C2304">
        <v>2.5</v>
      </c>
      <c r="D2304">
        <v>2.9</v>
      </c>
      <c r="E2304" s="4">
        <v>2.65</v>
      </c>
    </row>
    <row r="2305" spans="1:5" x14ac:dyDescent="0.35">
      <c r="A2305" s="1">
        <v>45769</v>
      </c>
      <c r="B2305" s="2">
        <v>45769</v>
      </c>
      <c r="C2305">
        <v>2.5</v>
      </c>
      <c r="D2305">
        <v>2.9</v>
      </c>
      <c r="E2305" s="4">
        <v>2.65</v>
      </c>
    </row>
    <row r="2306" spans="1:5" x14ac:dyDescent="0.35">
      <c r="A2306" s="1">
        <v>45770</v>
      </c>
      <c r="B2306" s="2">
        <v>45770</v>
      </c>
      <c r="C2306">
        <v>2.25</v>
      </c>
      <c r="D2306">
        <v>2.65</v>
      </c>
      <c r="E2306" s="4">
        <v>2.4</v>
      </c>
    </row>
    <row r="2307" spans="1:5" x14ac:dyDescent="0.35">
      <c r="A2307" s="1">
        <v>45771</v>
      </c>
      <c r="B2307" s="2">
        <v>45771</v>
      </c>
      <c r="C2307">
        <v>2.25</v>
      </c>
      <c r="D2307">
        <v>2.65</v>
      </c>
      <c r="E2307" s="4">
        <v>2.4</v>
      </c>
    </row>
    <row r="2308" spans="1:5" x14ac:dyDescent="0.35">
      <c r="A2308" s="1">
        <v>45772</v>
      </c>
      <c r="B2308" s="2">
        <v>45772</v>
      </c>
      <c r="C2308">
        <v>2.25</v>
      </c>
      <c r="D2308">
        <v>2.65</v>
      </c>
      <c r="E2308" s="4">
        <v>2.4</v>
      </c>
    </row>
    <row r="2309" spans="1:5" x14ac:dyDescent="0.35">
      <c r="A2309" s="1">
        <v>45773</v>
      </c>
      <c r="B2309" s="2">
        <v>45773</v>
      </c>
      <c r="C2309">
        <v>2.25</v>
      </c>
      <c r="D2309">
        <v>2.65</v>
      </c>
      <c r="E2309" s="4">
        <v>2.4</v>
      </c>
    </row>
    <row r="2310" spans="1:5" x14ac:dyDescent="0.35">
      <c r="A2310" s="1">
        <v>45774</v>
      </c>
      <c r="B2310" s="2">
        <v>45774</v>
      </c>
      <c r="C2310">
        <v>2.25</v>
      </c>
      <c r="D2310">
        <v>2.65</v>
      </c>
      <c r="E2310" s="4">
        <v>2.4</v>
      </c>
    </row>
    <row r="2311" spans="1:5" x14ac:dyDescent="0.35">
      <c r="A2311" s="1">
        <v>45775</v>
      </c>
      <c r="B2311" s="2">
        <v>45775</v>
      </c>
      <c r="C2311">
        <v>2.25</v>
      </c>
      <c r="D2311">
        <v>2.65</v>
      </c>
      <c r="E2311" s="4">
        <v>2.4</v>
      </c>
    </row>
    <row r="2312" spans="1:5" x14ac:dyDescent="0.35">
      <c r="A2312" s="1">
        <v>45776</v>
      </c>
      <c r="B2312" s="2">
        <v>45776</v>
      </c>
      <c r="C2312">
        <v>2.25</v>
      </c>
      <c r="D2312">
        <v>2.65</v>
      </c>
      <c r="E2312" s="4">
        <v>2.4</v>
      </c>
    </row>
    <row r="2313" spans="1:5" x14ac:dyDescent="0.35">
      <c r="A2313" s="1">
        <v>45777</v>
      </c>
      <c r="B2313" s="2">
        <v>45777</v>
      </c>
      <c r="C2313">
        <v>2.25</v>
      </c>
      <c r="D2313">
        <v>2.65</v>
      </c>
      <c r="E2313" s="4">
        <v>2.4</v>
      </c>
    </row>
    <row r="2314" spans="1:5" x14ac:dyDescent="0.35">
      <c r="A2314" s="1">
        <v>45778</v>
      </c>
      <c r="B2314" s="2">
        <v>45778</v>
      </c>
      <c r="C2314">
        <v>2.25</v>
      </c>
      <c r="D2314">
        <v>2.65</v>
      </c>
      <c r="E2314" s="4">
        <v>2.4</v>
      </c>
    </row>
    <row r="2315" spans="1:5" x14ac:dyDescent="0.35">
      <c r="A2315" s="1">
        <v>45779</v>
      </c>
      <c r="B2315" s="2">
        <v>45779</v>
      </c>
      <c r="C2315">
        <v>2.25</v>
      </c>
      <c r="D2315">
        <v>2.65</v>
      </c>
      <c r="E2315" s="4">
        <v>2.4</v>
      </c>
    </row>
    <row r="2316" spans="1:5" x14ac:dyDescent="0.35">
      <c r="A2316" s="1">
        <v>45780</v>
      </c>
      <c r="B2316" s="2">
        <v>45780</v>
      </c>
      <c r="C2316">
        <v>2.25</v>
      </c>
      <c r="D2316">
        <v>2.65</v>
      </c>
      <c r="E2316" s="4">
        <v>2.4</v>
      </c>
    </row>
    <row r="2317" spans="1:5" x14ac:dyDescent="0.35">
      <c r="A2317" s="1">
        <v>45781</v>
      </c>
      <c r="B2317" s="2">
        <v>45781</v>
      </c>
      <c r="C2317">
        <v>2.25</v>
      </c>
      <c r="D2317">
        <v>2.65</v>
      </c>
      <c r="E2317" s="4">
        <v>2.4</v>
      </c>
    </row>
    <row r="2318" spans="1:5" x14ac:dyDescent="0.35">
      <c r="A2318" s="1">
        <v>45782</v>
      </c>
      <c r="B2318" s="2">
        <v>45782</v>
      </c>
      <c r="C2318">
        <v>2.25</v>
      </c>
      <c r="D2318">
        <v>2.65</v>
      </c>
      <c r="E2318" s="4">
        <v>2.4</v>
      </c>
    </row>
    <row r="2319" spans="1:5" x14ac:dyDescent="0.35">
      <c r="A2319" s="1">
        <v>45783</v>
      </c>
      <c r="B2319" s="2">
        <v>45783</v>
      </c>
      <c r="C2319">
        <v>2.25</v>
      </c>
      <c r="D2319">
        <v>2.65</v>
      </c>
      <c r="E2319" s="4">
        <v>2.4</v>
      </c>
    </row>
    <row r="2320" spans="1:5" x14ac:dyDescent="0.35">
      <c r="A2320" s="1">
        <v>45784</v>
      </c>
      <c r="B2320" s="2">
        <v>45784</v>
      </c>
      <c r="C2320">
        <v>2.25</v>
      </c>
      <c r="D2320">
        <v>2.65</v>
      </c>
      <c r="E2320" s="4">
        <v>2.4</v>
      </c>
    </row>
    <row r="2321" spans="1:5" x14ac:dyDescent="0.35">
      <c r="A2321" s="1">
        <v>45785</v>
      </c>
      <c r="B2321" s="2">
        <v>45785</v>
      </c>
      <c r="C2321">
        <v>2.25</v>
      </c>
      <c r="D2321">
        <v>2.65</v>
      </c>
      <c r="E2321" s="4">
        <v>2.4</v>
      </c>
    </row>
    <row r="2322" spans="1:5" x14ac:dyDescent="0.35">
      <c r="A2322" s="1">
        <v>45786</v>
      </c>
      <c r="B2322" s="2">
        <v>45786</v>
      </c>
      <c r="C2322">
        <v>2.25</v>
      </c>
      <c r="D2322">
        <v>2.65</v>
      </c>
      <c r="E2322" s="4">
        <v>2.4</v>
      </c>
    </row>
    <row r="2323" spans="1:5" x14ac:dyDescent="0.35">
      <c r="A2323" s="1">
        <v>45787</v>
      </c>
      <c r="B2323" s="2">
        <v>45787</v>
      </c>
      <c r="C2323">
        <v>2.25</v>
      </c>
      <c r="D2323">
        <v>2.65</v>
      </c>
      <c r="E2323" s="4">
        <v>2.4</v>
      </c>
    </row>
    <row r="2324" spans="1:5" x14ac:dyDescent="0.35">
      <c r="A2324" s="1">
        <v>45788</v>
      </c>
      <c r="B2324" s="2">
        <v>45788</v>
      </c>
      <c r="C2324">
        <v>2.25</v>
      </c>
      <c r="D2324">
        <v>2.65</v>
      </c>
      <c r="E2324" s="4">
        <v>2.4</v>
      </c>
    </row>
    <row r="2325" spans="1:5" x14ac:dyDescent="0.35">
      <c r="A2325" s="1">
        <v>45789</v>
      </c>
      <c r="B2325" s="2">
        <v>45789</v>
      </c>
      <c r="C2325">
        <v>2.25</v>
      </c>
      <c r="D2325">
        <v>2.65</v>
      </c>
      <c r="E2325" s="4">
        <v>2.4</v>
      </c>
    </row>
    <row r="2326" spans="1:5" x14ac:dyDescent="0.35">
      <c r="A2326" s="1">
        <v>45790</v>
      </c>
      <c r="B2326" s="2">
        <v>45790</v>
      </c>
      <c r="C2326">
        <v>2.25</v>
      </c>
      <c r="D2326">
        <v>2.65</v>
      </c>
      <c r="E2326" s="4">
        <v>2.4</v>
      </c>
    </row>
    <row r="2327" spans="1:5" x14ac:dyDescent="0.35">
      <c r="A2327" s="1">
        <v>45791</v>
      </c>
      <c r="B2327" s="2">
        <v>45791</v>
      </c>
      <c r="C2327">
        <v>2.25</v>
      </c>
      <c r="D2327">
        <v>2.65</v>
      </c>
      <c r="E2327" s="4">
        <v>2.4</v>
      </c>
    </row>
    <row r="2328" spans="1:5" x14ac:dyDescent="0.35">
      <c r="A2328" s="1">
        <v>45792</v>
      </c>
      <c r="B2328" s="2">
        <v>45792</v>
      </c>
      <c r="C2328">
        <v>2.25</v>
      </c>
      <c r="D2328">
        <v>2.65</v>
      </c>
      <c r="E2328" s="4">
        <v>2.4</v>
      </c>
    </row>
    <row r="2329" spans="1:5" x14ac:dyDescent="0.35">
      <c r="A2329" s="1">
        <v>45793</v>
      </c>
      <c r="B2329" s="2">
        <v>45793</v>
      </c>
      <c r="C2329">
        <v>2.25</v>
      </c>
      <c r="D2329">
        <v>2.65</v>
      </c>
      <c r="E2329" s="4">
        <v>2.4</v>
      </c>
    </row>
    <row r="2330" spans="1:5" x14ac:dyDescent="0.35">
      <c r="A2330" s="1">
        <v>45794</v>
      </c>
      <c r="B2330" s="2">
        <v>45794</v>
      </c>
      <c r="C2330">
        <v>2.25</v>
      </c>
      <c r="D2330">
        <v>2.65</v>
      </c>
      <c r="E2330" s="4">
        <v>2.4</v>
      </c>
    </row>
    <row r="2331" spans="1:5" x14ac:dyDescent="0.35">
      <c r="A2331" s="1">
        <v>45795</v>
      </c>
      <c r="B2331" s="2">
        <v>45795</v>
      </c>
      <c r="C2331">
        <v>2.25</v>
      </c>
      <c r="D2331">
        <v>2.65</v>
      </c>
      <c r="E2331" s="4">
        <v>2.4</v>
      </c>
    </row>
    <row r="2332" spans="1:5" x14ac:dyDescent="0.35">
      <c r="A2332" s="1">
        <v>45796</v>
      </c>
      <c r="B2332" s="2">
        <v>45796</v>
      </c>
      <c r="C2332">
        <v>2.25</v>
      </c>
      <c r="D2332">
        <v>2.65</v>
      </c>
      <c r="E2332" s="4">
        <v>2.4</v>
      </c>
    </row>
    <row r="2333" spans="1:5" x14ac:dyDescent="0.35">
      <c r="A2333" s="1">
        <v>45797</v>
      </c>
      <c r="B2333" s="2">
        <v>45797</v>
      </c>
      <c r="C2333">
        <v>2.25</v>
      </c>
      <c r="D2333">
        <v>2.65</v>
      </c>
      <c r="E2333" s="4">
        <v>2.4</v>
      </c>
    </row>
    <row r="2334" spans="1:5" x14ac:dyDescent="0.35">
      <c r="A2334" s="1">
        <v>45798</v>
      </c>
      <c r="B2334" s="2">
        <v>45798</v>
      </c>
      <c r="C2334">
        <v>2.25</v>
      </c>
      <c r="D2334">
        <v>2.65</v>
      </c>
      <c r="E2334" s="4">
        <v>2.4</v>
      </c>
    </row>
    <row r="2335" spans="1:5" x14ac:dyDescent="0.35">
      <c r="A2335" s="1">
        <v>45799</v>
      </c>
      <c r="B2335" s="2">
        <v>45799</v>
      </c>
      <c r="C2335">
        <v>2.25</v>
      </c>
      <c r="D2335">
        <v>2.65</v>
      </c>
      <c r="E2335" s="4">
        <v>2.4</v>
      </c>
    </row>
    <row r="2336" spans="1:5" x14ac:dyDescent="0.35">
      <c r="A2336" s="1">
        <v>45800</v>
      </c>
      <c r="B2336" s="2">
        <v>45800</v>
      </c>
      <c r="C2336">
        <v>2.25</v>
      </c>
      <c r="D2336">
        <v>2.65</v>
      </c>
      <c r="E2336" s="4">
        <v>2.4</v>
      </c>
    </row>
    <row r="2337" spans="1:5" x14ac:dyDescent="0.35">
      <c r="A2337" s="1">
        <v>45801</v>
      </c>
      <c r="B2337" s="2">
        <v>45801</v>
      </c>
      <c r="C2337">
        <v>2.25</v>
      </c>
      <c r="D2337">
        <v>2.65</v>
      </c>
      <c r="E2337" s="4">
        <v>2.4</v>
      </c>
    </row>
    <row r="2338" spans="1:5" x14ac:dyDescent="0.35">
      <c r="A2338" s="1">
        <v>45802</v>
      </c>
      <c r="B2338" s="2">
        <v>45802</v>
      </c>
      <c r="C2338">
        <v>2.25</v>
      </c>
      <c r="D2338">
        <v>2.65</v>
      </c>
      <c r="E2338" s="4">
        <v>2.4</v>
      </c>
    </row>
    <row r="2339" spans="1:5" x14ac:dyDescent="0.35">
      <c r="A2339" s="1">
        <v>45803</v>
      </c>
      <c r="B2339" s="2">
        <v>45803</v>
      </c>
      <c r="C2339">
        <v>2.25</v>
      </c>
      <c r="D2339">
        <v>2.65</v>
      </c>
      <c r="E2339" s="4">
        <v>2.4</v>
      </c>
    </row>
    <row r="2340" spans="1:5" x14ac:dyDescent="0.35">
      <c r="A2340" s="1">
        <v>45804</v>
      </c>
      <c r="B2340" s="2">
        <v>45804</v>
      </c>
      <c r="C2340">
        <v>2.25</v>
      </c>
      <c r="D2340">
        <v>2.65</v>
      </c>
      <c r="E2340" s="4">
        <v>2.4</v>
      </c>
    </row>
    <row r="2341" spans="1:5" x14ac:dyDescent="0.35">
      <c r="A2341" s="1">
        <v>45805</v>
      </c>
      <c r="B2341" s="2">
        <v>45805</v>
      </c>
      <c r="C2341">
        <v>2.25</v>
      </c>
      <c r="D2341">
        <v>2.65</v>
      </c>
      <c r="E2341" s="4">
        <v>2.4</v>
      </c>
    </row>
    <row r="2342" spans="1:5" x14ac:dyDescent="0.35">
      <c r="A2342" s="1">
        <v>45806</v>
      </c>
      <c r="B2342" s="2">
        <v>45806</v>
      </c>
      <c r="C2342">
        <v>2.25</v>
      </c>
      <c r="D2342">
        <v>2.65</v>
      </c>
      <c r="E2342" s="4">
        <v>2.4</v>
      </c>
    </row>
    <row r="2343" spans="1:5" x14ac:dyDescent="0.35">
      <c r="A2343" s="1">
        <v>45807</v>
      </c>
      <c r="B2343" s="2">
        <v>45807</v>
      </c>
      <c r="C2343">
        <v>2.25</v>
      </c>
      <c r="D2343">
        <v>2.65</v>
      </c>
      <c r="E2343" s="4">
        <v>2.4</v>
      </c>
    </row>
    <row r="2344" spans="1:5" x14ac:dyDescent="0.35">
      <c r="A2344" s="1">
        <v>45808</v>
      </c>
      <c r="B2344" s="2">
        <v>45808</v>
      </c>
      <c r="C2344">
        <v>2.25</v>
      </c>
      <c r="D2344">
        <v>2.65</v>
      </c>
      <c r="E2344" s="4">
        <v>2.4</v>
      </c>
    </row>
    <row r="2345" spans="1:5" x14ac:dyDescent="0.35">
      <c r="A2345" s="1">
        <v>45809</v>
      </c>
      <c r="B2345" s="2">
        <v>45809</v>
      </c>
      <c r="C2345">
        <v>2.25</v>
      </c>
      <c r="D2345">
        <v>2.65</v>
      </c>
      <c r="E2345" s="4">
        <v>2.4</v>
      </c>
    </row>
    <row r="2346" spans="1:5" x14ac:dyDescent="0.35">
      <c r="A2346" s="1">
        <v>45810</v>
      </c>
      <c r="B2346" s="2">
        <v>45810</v>
      </c>
      <c r="C2346">
        <v>2.25</v>
      </c>
      <c r="D2346">
        <v>2.65</v>
      </c>
      <c r="E2346" s="4">
        <v>2.4</v>
      </c>
    </row>
    <row r="2347" spans="1:5" x14ac:dyDescent="0.35">
      <c r="A2347" s="1">
        <v>45811</v>
      </c>
      <c r="B2347" s="2">
        <v>45811</v>
      </c>
      <c r="C2347">
        <v>2.25</v>
      </c>
      <c r="D2347">
        <v>2.65</v>
      </c>
      <c r="E2347" s="4">
        <v>2.4</v>
      </c>
    </row>
    <row r="2348" spans="1:5" x14ac:dyDescent="0.35">
      <c r="A2348" s="1">
        <v>45812</v>
      </c>
      <c r="B2348" s="2">
        <v>45812</v>
      </c>
      <c r="C2348">
        <v>2.25</v>
      </c>
      <c r="D2348">
        <v>2.65</v>
      </c>
      <c r="E2348" s="4">
        <v>2.4</v>
      </c>
    </row>
    <row r="2349" spans="1:5" x14ac:dyDescent="0.35">
      <c r="A2349" s="1">
        <v>45813</v>
      </c>
      <c r="B2349" s="2">
        <v>45813</v>
      </c>
      <c r="C2349">
        <v>2.25</v>
      </c>
      <c r="D2349">
        <v>2.65</v>
      </c>
      <c r="E2349" s="4">
        <v>2.4</v>
      </c>
    </row>
    <row r="2350" spans="1:5" x14ac:dyDescent="0.35">
      <c r="A2350" s="1">
        <v>45814</v>
      </c>
      <c r="B2350" s="2">
        <v>45814</v>
      </c>
      <c r="C2350">
        <v>2.25</v>
      </c>
      <c r="D2350">
        <v>2.65</v>
      </c>
      <c r="E2350" s="4">
        <v>2.4</v>
      </c>
    </row>
    <row r="2351" spans="1:5" x14ac:dyDescent="0.35">
      <c r="A2351" s="1">
        <v>45815</v>
      </c>
      <c r="B2351" s="2">
        <v>45815</v>
      </c>
      <c r="C2351">
        <v>2.25</v>
      </c>
      <c r="D2351">
        <v>2.65</v>
      </c>
      <c r="E2351" s="4">
        <v>2.4</v>
      </c>
    </row>
    <row r="2352" spans="1:5" x14ac:dyDescent="0.35">
      <c r="A2352" s="1">
        <v>45816</v>
      </c>
      <c r="B2352" s="2">
        <v>45816</v>
      </c>
      <c r="C2352">
        <v>2.25</v>
      </c>
      <c r="D2352">
        <v>2.65</v>
      </c>
      <c r="E2352" s="4">
        <v>2.4</v>
      </c>
    </row>
    <row r="2353" spans="1:5" x14ac:dyDescent="0.35">
      <c r="A2353" s="1">
        <v>45817</v>
      </c>
      <c r="B2353" s="2">
        <v>45817</v>
      </c>
      <c r="C2353">
        <v>2.25</v>
      </c>
      <c r="D2353">
        <v>2.65</v>
      </c>
      <c r="E2353" s="4">
        <v>2.4</v>
      </c>
    </row>
    <row r="2354" spans="1:5" x14ac:dyDescent="0.35">
      <c r="A2354" s="1">
        <v>45818</v>
      </c>
      <c r="B2354" s="2">
        <v>45818</v>
      </c>
      <c r="C2354">
        <v>2.25</v>
      </c>
      <c r="D2354">
        <v>2.65</v>
      </c>
      <c r="E2354" s="4">
        <v>2.4</v>
      </c>
    </row>
    <row r="2355" spans="1:5" x14ac:dyDescent="0.35">
      <c r="A2355" s="1">
        <v>45819</v>
      </c>
      <c r="B2355" s="2">
        <v>45819</v>
      </c>
      <c r="C2355">
        <v>2</v>
      </c>
      <c r="D2355">
        <v>2.4</v>
      </c>
      <c r="E2355" s="4">
        <v>2.15</v>
      </c>
    </row>
    <row r="2356" spans="1:5" x14ac:dyDescent="0.35">
      <c r="A2356" s="1">
        <v>45820</v>
      </c>
      <c r="B2356" s="2">
        <v>45820</v>
      </c>
      <c r="C2356">
        <v>2</v>
      </c>
      <c r="D2356">
        <v>2.4</v>
      </c>
      <c r="E2356" s="4">
        <v>2.15</v>
      </c>
    </row>
    <row r="2357" spans="1:5" x14ac:dyDescent="0.35">
      <c r="A2357" s="1">
        <v>45821</v>
      </c>
      <c r="B2357" s="2">
        <v>45821</v>
      </c>
      <c r="C2357">
        <v>2</v>
      </c>
      <c r="D2357">
        <v>2.4</v>
      </c>
      <c r="E2357" s="4">
        <v>2.15</v>
      </c>
    </row>
    <row r="2358" spans="1:5" x14ac:dyDescent="0.35">
      <c r="A2358" s="1">
        <v>45822</v>
      </c>
      <c r="B2358" s="2">
        <v>45822</v>
      </c>
      <c r="C2358">
        <v>2</v>
      </c>
      <c r="D2358">
        <v>2.4</v>
      </c>
      <c r="E2358" s="4">
        <v>2.15</v>
      </c>
    </row>
    <row r="2359" spans="1:5" x14ac:dyDescent="0.35">
      <c r="A2359" s="1">
        <v>45823</v>
      </c>
      <c r="B2359" s="2">
        <v>45823</v>
      </c>
      <c r="C2359">
        <v>2</v>
      </c>
      <c r="D2359">
        <v>2.4</v>
      </c>
      <c r="E2359" s="4">
        <v>2.15</v>
      </c>
    </row>
    <row r="2360" spans="1:5" x14ac:dyDescent="0.35">
      <c r="A2360" s="1">
        <v>45824</v>
      </c>
      <c r="B2360" s="2">
        <v>45824</v>
      </c>
      <c r="C2360">
        <v>2</v>
      </c>
      <c r="D2360">
        <v>2.4</v>
      </c>
      <c r="E2360" s="4">
        <v>2.15</v>
      </c>
    </row>
    <row r="2361" spans="1:5" x14ac:dyDescent="0.35">
      <c r="A2361" s="1">
        <v>45825</v>
      </c>
      <c r="B2361" s="2">
        <v>45825</v>
      </c>
      <c r="C2361">
        <v>2</v>
      </c>
      <c r="D2361">
        <v>2.4</v>
      </c>
      <c r="E2361" s="4">
        <v>2.15</v>
      </c>
    </row>
    <row r="2362" spans="1:5" x14ac:dyDescent="0.35">
      <c r="A2362" s="1">
        <v>45826</v>
      </c>
      <c r="B2362" s="2">
        <v>45826</v>
      </c>
      <c r="C2362">
        <v>2</v>
      </c>
      <c r="D2362">
        <v>2.4</v>
      </c>
      <c r="E2362" s="4">
        <v>2.15</v>
      </c>
    </row>
    <row r="2363" spans="1:5" x14ac:dyDescent="0.35">
      <c r="A2363" s="1">
        <v>45827</v>
      </c>
      <c r="B2363" s="2">
        <v>45827</v>
      </c>
      <c r="C2363">
        <v>2</v>
      </c>
      <c r="D2363">
        <v>2.4</v>
      </c>
      <c r="E2363" s="4">
        <v>2.15</v>
      </c>
    </row>
    <row r="2364" spans="1:5" x14ac:dyDescent="0.35">
      <c r="A2364" s="1">
        <v>45828</v>
      </c>
      <c r="B2364" s="2">
        <v>45828</v>
      </c>
      <c r="C2364">
        <v>2</v>
      </c>
      <c r="D2364">
        <v>2.4</v>
      </c>
      <c r="E2364" s="4">
        <v>2.15</v>
      </c>
    </row>
    <row r="2365" spans="1:5" x14ac:dyDescent="0.35">
      <c r="A2365" s="1">
        <v>45829</v>
      </c>
      <c r="B2365" s="2">
        <v>45829</v>
      </c>
      <c r="C2365">
        <v>2</v>
      </c>
      <c r="D2365">
        <v>2.4</v>
      </c>
      <c r="E2365" s="4">
        <v>2.15</v>
      </c>
    </row>
    <row r="2366" spans="1:5" x14ac:dyDescent="0.35">
      <c r="A2366" s="1">
        <v>45830</v>
      </c>
      <c r="B2366" s="2">
        <v>45830</v>
      </c>
      <c r="C2366">
        <v>2</v>
      </c>
      <c r="D2366">
        <v>2.4</v>
      </c>
      <c r="E2366" s="4">
        <v>2.15</v>
      </c>
    </row>
    <row r="2367" spans="1:5" x14ac:dyDescent="0.35">
      <c r="A2367" s="1">
        <v>45831</v>
      </c>
      <c r="B2367" s="2">
        <v>45831</v>
      </c>
      <c r="C2367">
        <v>2</v>
      </c>
      <c r="D2367">
        <v>2.4</v>
      </c>
      <c r="E2367" s="4">
        <v>2.15</v>
      </c>
    </row>
    <row r="2368" spans="1:5" x14ac:dyDescent="0.35">
      <c r="A2368" s="1">
        <v>45832</v>
      </c>
      <c r="B2368" s="2">
        <v>45832</v>
      </c>
      <c r="C2368">
        <v>2</v>
      </c>
      <c r="D2368">
        <v>2.4</v>
      </c>
      <c r="E2368" s="4">
        <v>2.15</v>
      </c>
    </row>
    <row r="2369" spans="1:5" x14ac:dyDescent="0.35">
      <c r="A2369" s="1">
        <v>45833</v>
      </c>
      <c r="B2369" s="2">
        <v>45833</v>
      </c>
      <c r="C2369">
        <v>2</v>
      </c>
      <c r="D2369">
        <v>2.4</v>
      </c>
      <c r="E2369" s="4">
        <v>2.15</v>
      </c>
    </row>
    <row r="2370" spans="1:5" x14ac:dyDescent="0.35">
      <c r="A2370" s="1">
        <v>45834</v>
      </c>
      <c r="B2370" s="2">
        <v>45834</v>
      </c>
      <c r="C2370">
        <v>2</v>
      </c>
      <c r="D2370">
        <v>2.4</v>
      </c>
      <c r="E2370" s="4">
        <v>2.15</v>
      </c>
    </row>
    <row r="2371" spans="1:5" x14ac:dyDescent="0.35">
      <c r="A2371" s="1">
        <v>45835</v>
      </c>
      <c r="B2371" s="2">
        <v>45835</v>
      </c>
      <c r="C2371">
        <v>2</v>
      </c>
      <c r="D2371">
        <v>2.4</v>
      </c>
      <c r="E2371" s="4">
        <v>2.15</v>
      </c>
    </row>
    <row r="2372" spans="1:5" x14ac:dyDescent="0.35">
      <c r="A2372" s="1">
        <v>45836</v>
      </c>
      <c r="B2372" s="2">
        <v>45836</v>
      </c>
      <c r="C2372">
        <v>2</v>
      </c>
      <c r="D2372">
        <v>2.4</v>
      </c>
      <c r="E2372" s="4">
        <v>2.15</v>
      </c>
    </row>
    <row r="2373" spans="1:5" x14ac:dyDescent="0.35">
      <c r="A2373" s="1">
        <v>45837</v>
      </c>
      <c r="B2373" s="2">
        <v>45837</v>
      </c>
      <c r="C2373">
        <v>2</v>
      </c>
      <c r="D2373">
        <v>2.4</v>
      </c>
      <c r="E2373" s="4">
        <v>2.15</v>
      </c>
    </row>
    <row r="2374" spans="1:5" x14ac:dyDescent="0.35">
      <c r="A2374" s="1">
        <v>45838</v>
      </c>
      <c r="B2374" s="2">
        <v>45838</v>
      </c>
      <c r="C2374">
        <v>2</v>
      </c>
      <c r="D2374">
        <v>2.4</v>
      </c>
      <c r="E2374" s="4">
        <v>2.15</v>
      </c>
    </row>
    <row r="2375" spans="1:5" x14ac:dyDescent="0.35">
      <c r="A2375" s="1">
        <v>45839</v>
      </c>
      <c r="B2375" s="2">
        <v>45839</v>
      </c>
      <c r="C2375">
        <v>2</v>
      </c>
      <c r="D2375">
        <v>2.4</v>
      </c>
      <c r="E2375" s="4">
        <v>2.15</v>
      </c>
    </row>
    <row r="2376" spans="1:5" x14ac:dyDescent="0.35">
      <c r="A2376" s="1">
        <v>45840</v>
      </c>
      <c r="B2376" s="2">
        <v>45840</v>
      </c>
      <c r="C2376">
        <v>2</v>
      </c>
      <c r="D2376">
        <v>2.4</v>
      </c>
      <c r="E2376" s="4">
        <v>2.15</v>
      </c>
    </row>
    <row r="2377" spans="1:5" x14ac:dyDescent="0.35">
      <c r="A2377" s="1">
        <v>45841</v>
      </c>
      <c r="B2377" s="2">
        <v>45841</v>
      </c>
      <c r="C2377">
        <v>2</v>
      </c>
      <c r="D2377">
        <v>2.4</v>
      </c>
      <c r="E2377" s="4">
        <v>2.15</v>
      </c>
    </row>
    <row r="2378" spans="1:5" x14ac:dyDescent="0.35">
      <c r="A2378" s="1">
        <v>45842</v>
      </c>
      <c r="B2378" s="2">
        <v>45842</v>
      </c>
      <c r="C2378">
        <v>2</v>
      </c>
      <c r="D2378">
        <v>2.4</v>
      </c>
      <c r="E2378" s="4">
        <v>2.15</v>
      </c>
    </row>
    <row r="2379" spans="1:5" x14ac:dyDescent="0.35">
      <c r="A2379" s="1">
        <v>45843</v>
      </c>
      <c r="B2379" s="2">
        <v>45843</v>
      </c>
      <c r="C2379">
        <v>2</v>
      </c>
      <c r="D2379">
        <v>2.4</v>
      </c>
      <c r="E2379" s="4">
        <v>2.15</v>
      </c>
    </row>
    <row r="2380" spans="1:5" x14ac:dyDescent="0.35">
      <c r="A2380" s="1">
        <v>45844</v>
      </c>
      <c r="B2380" s="2">
        <v>45844</v>
      </c>
      <c r="C2380">
        <v>2</v>
      </c>
      <c r="D2380">
        <v>2.4</v>
      </c>
      <c r="E2380" s="4">
        <v>2.15</v>
      </c>
    </row>
    <row r="2381" spans="1:5" x14ac:dyDescent="0.35">
      <c r="A2381" s="1">
        <v>45845</v>
      </c>
      <c r="B2381" s="2">
        <v>45845</v>
      </c>
      <c r="C2381">
        <v>2</v>
      </c>
      <c r="D2381">
        <v>2.4</v>
      </c>
      <c r="E2381" s="4">
        <v>2.15</v>
      </c>
    </row>
    <row r="2382" spans="1:5" x14ac:dyDescent="0.35">
      <c r="A2382" s="1">
        <v>45846</v>
      </c>
      <c r="B2382" s="2">
        <v>45846</v>
      </c>
      <c r="C2382">
        <v>2</v>
      </c>
      <c r="D2382">
        <v>2.4</v>
      </c>
      <c r="E2382" s="4">
        <v>2.15</v>
      </c>
    </row>
    <row r="2383" spans="1:5" x14ac:dyDescent="0.35">
      <c r="A2383" s="1">
        <v>45847</v>
      </c>
      <c r="B2383" s="2">
        <v>45847</v>
      </c>
      <c r="C2383">
        <v>2</v>
      </c>
      <c r="D2383">
        <v>2.4</v>
      </c>
      <c r="E2383" s="4">
        <v>2.15</v>
      </c>
    </row>
    <row r="2384" spans="1:5" x14ac:dyDescent="0.35">
      <c r="A2384" s="1">
        <v>45848</v>
      </c>
      <c r="B2384" s="2">
        <v>45848</v>
      </c>
      <c r="C2384">
        <v>2</v>
      </c>
      <c r="D2384">
        <v>2.4</v>
      </c>
      <c r="E2384" s="4">
        <v>2.15</v>
      </c>
    </row>
    <row r="2385" spans="1:5" x14ac:dyDescent="0.35">
      <c r="A2385" s="1">
        <v>45849</v>
      </c>
      <c r="B2385" s="2">
        <v>45849</v>
      </c>
      <c r="C2385">
        <v>2</v>
      </c>
      <c r="D2385">
        <v>2.4</v>
      </c>
      <c r="E2385" s="4">
        <v>2.15</v>
      </c>
    </row>
    <row r="2386" spans="1:5" x14ac:dyDescent="0.35">
      <c r="A2386" s="1">
        <v>45850</v>
      </c>
      <c r="B2386" s="2">
        <v>45850</v>
      </c>
      <c r="C2386">
        <v>2</v>
      </c>
      <c r="D2386">
        <v>2.4</v>
      </c>
      <c r="E2386" s="4">
        <v>2.15</v>
      </c>
    </row>
    <row r="2387" spans="1:5" x14ac:dyDescent="0.35">
      <c r="A2387" s="1">
        <v>45851</v>
      </c>
      <c r="B2387" s="2">
        <v>45851</v>
      </c>
      <c r="C2387">
        <v>2</v>
      </c>
      <c r="D2387">
        <v>2.4</v>
      </c>
      <c r="E2387" s="4">
        <v>2.15</v>
      </c>
    </row>
    <row r="2388" spans="1:5" x14ac:dyDescent="0.35">
      <c r="A2388" s="1">
        <v>45852</v>
      </c>
      <c r="B2388" s="2">
        <v>45852</v>
      </c>
      <c r="C2388">
        <v>2</v>
      </c>
      <c r="D2388">
        <v>2.4</v>
      </c>
      <c r="E2388" s="4">
        <v>2.15</v>
      </c>
    </row>
    <row r="2389" spans="1:5" x14ac:dyDescent="0.35">
      <c r="A2389" s="1">
        <v>45853</v>
      </c>
      <c r="B2389" s="2">
        <v>45853</v>
      </c>
      <c r="C2389">
        <v>2</v>
      </c>
      <c r="D2389">
        <v>2.4</v>
      </c>
      <c r="E2389" s="4">
        <v>2.15</v>
      </c>
    </row>
    <row r="2390" spans="1:5" x14ac:dyDescent="0.35">
      <c r="A2390" s="1">
        <v>45854</v>
      </c>
      <c r="B2390" s="2">
        <v>45854</v>
      </c>
      <c r="C2390">
        <v>2</v>
      </c>
      <c r="D2390">
        <v>2.4</v>
      </c>
      <c r="E2390" s="4">
        <v>2.15</v>
      </c>
    </row>
    <row r="2391" spans="1:5" x14ac:dyDescent="0.35">
      <c r="A2391" s="1">
        <v>45855</v>
      </c>
      <c r="B2391" s="2">
        <v>45855</v>
      </c>
      <c r="C2391">
        <v>2</v>
      </c>
      <c r="D2391">
        <v>2.4</v>
      </c>
      <c r="E2391" s="4">
        <v>2.15</v>
      </c>
    </row>
    <row r="2392" spans="1:5" x14ac:dyDescent="0.35">
      <c r="A2392" s="1">
        <v>45856</v>
      </c>
      <c r="B2392" s="2">
        <v>45856</v>
      </c>
      <c r="C2392">
        <v>2</v>
      </c>
      <c r="D2392">
        <v>2.4</v>
      </c>
      <c r="E2392" s="4">
        <v>2.15</v>
      </c>
    </row>
    <row r="2393" spans="1:5" x14ac:dyDescent="0.35">
      <c r="A2393" s="1">
        <v>45857</v>
      </c>
      <c r="B2393" s="2">
        <v>45857</v>
      </c>
      <c r="C2393">
        <v>2</v>
      </c>
      <c r="D2393">
        <v>2.4</v>
      </c>
      <c r="E2393" s="4">
        <v>2.15</v>
      </c>
    </row>
    <row r="2394" spans="1:5" x14ac:dyDescent="0.35">
      <c r="A2394" s="1">
        <v>45858</v>
      </c>
      <c r="B2394" s="2">
        <v>45858</v>
      </c>
      <c r="C2394">
        <v>2</v>
      </c>
      <c r="D2394">
        <v>2.4</v>
      </c>
      <c r="E2394" s="4">
        <v>2.15</v>
      </c>
    </row>
    <row r="2395" spans="1:5" x14ac:dyDescent="0.35">
      <c r="A2395" s="1">
        <v>45859</v>
      </c>
      <c r="B2395" s="2">
        <v>45859</v>
      </c>
      <c r="C2395">
        <v>2</v>
      </c>
      <c r="D2395">
        <v>2.4</v>
      </c>
      <c r="E2395" s="4">
        <v>2.15</v>
      </c>
    </row>
    <row r="2396" spans="1:5" x14ac:dyDescent="0.35">
      <c r="A2396" s="1">
        <v>45860</v>
      </c>
      <c r="B2396" s="2">
        <v>45860</v>
      </c>
      <c r="C2396">
        <v>2</v>
      </c>
      <c r="D2396">
        <v>2.4</v>
      </c>
      <c r="E2396" s="4">
        <v>2.15</v>
      </c>
    </row>
    <row r="2397" spans="1:5" x14ac:dyDescent="0.35">
      <c r="A2397" s="1">
        <v>45861</v>
      </c>
      <c r="B2397" s="2">
        <v>45861</v>
      </c>
      <c r="C2397">
        <v>2</v>
      </c>
      <c r="D2397">
        <v>2.4</v>
      </c>
      <c r="E2397" s="4">
        <v>2.15</v>
      </c>
    </row>
    <row r="2398" spans="1:5" x14ac:dyDescent="0.35">
      <c r="A2398" s="1">
        <v>45862</v>
      </c>
      <c r="B2398" s="2">
        <v>45862</v>
      </c>
      <c r="C2398">
        <v>2</v>
      </c>
      <c r="D2398">
        <v>2.4</v>
      </c>
      <c r="E2398" s="4">
        <v>2.15</v>
      </c>
    </row>
    <row r="2399" spans="1:5" x14ac:dyDescent="0.35">
      <c r="A2399" s="1">
        <v>45863</v>
      </c>
      <c r="B2399" s="2">
        <v>45863</v>
      </c>
      <c r="C2399">
        <v>2</v>
      </c>
      <c r="D2399">
        <v>2.4</v>
      </c>
      <c r="E2399" s="4">
        <v>2.15</v>
      </c>
    </row>
    <row r="2400" spans="1:5" x14ac:dyDescent="0.35">
      <c r="A2400" s="1">
        <v>45864</v>
      </c>
      <c r="B2400" s="2">
        <v>45864</v>
      </c>
      <c r="C2400">
        <v>2</v>
      </c>
      <c r="D2400">
        <v>2.4</v>
      </c>
      <c r="E2400" s="4">
        <v>2.15</v>
      </c>
    </row>
    <row r="2401" spans="1:5" x14ac:dyDescent="0.35">
      <c r="A2401" s="1">
        <v>45865</v>
      </c>
      <c r="B2401" s="2">
        <v>45865</v>
      </c>
      <c r="C2401">
        <v>2</v>
      </c>
      <c r="D2401">
        <v>2.4</v>
      </c>
      <c r="E2401" s="4">
        <v>2.15</v>
      </c>
    </row>
    <row r="2402" spans="1:5" x14ac:dyDescent="0.35">
      <c r="A2402" s="1">
        <v>45866</v>
      </c>
      <c r="B2402" s="2">
        <v>45866</v>
      </c>
      <c r="C2402">
        <v>2</v>
      </c>
      <c r="D2402">
        <v>2.4</v>
      </c>
      <c r="E2402" s="4">
        <v>2.15</v>
      </c>
    </row>
    <row r="2403" spans="1:5" x14ac:dyDescent="0.35">
      <c r="A2403" s="1">
        <v>45867</v>
      </c>
      <c r="B2403" s="2">
        <v>45867</v>
      </c>
      <c r="C2403">
        <v>2</v>
      </c>
      <c r="D2403">
        <v>2.4</v>
      </c>
      <c r="E2403" s="4">
        <v>2.15</v>
      </c>
    </row>
    <row r="2404" spans="1:5" x14ac:dyDescent="0.35">
      <c r="A2404" s="1">
        <v>45868</v>
      </c>
      <c r="B2404" s="2">
        <v>45868</v>
      </c>
      <c r="C2404">
        <v>2</v>
      </c>
      <c r="D2404">
        <v>2.4</v>
      </c>
      <c r="E2404" s="4">
        <v>2.15</v>
      </c>
    </row>
    <row r="2405" spans="1:5" x14ac:dyDescent="0.35">
      <c r="A2405" s="1">
        <v>45869</v>
      </c>
      <c r="B2405" s="2">
        <v>45869</v>
      </c>
      <c r="C2405">
        <v>2</v>
      </c>
      <c r="D2405">
        <v>2.4</v>
      </c>
      <c r="E2405" s="4">
        <v>2.15</v>
      </c>
    </row>
    <row r="2406" spans="1:5" x14ac:dyDescent="0.35">
      <c r="A2406" s="1">
        <v>45870</v>
      </c>
      <c r="B2406" s="2">
        <v>45870</v>
      </c>
      <c r="C2406">
        <v>2</v>
      </c>
      <c r="D2406">
        <v>2.4</v>
      </c>
      <c r="E2406" s="4">
        <v>2.15</v>
      </c>
    </row>
    <row r="2407" spans="1:5" x14ac:dyDescent="0.35">
      <c r="A2407" s="1">
        <v>45871</v>
      </c>
      <c r="B2407" s="2">
        <v>45871</v>
      </c>
      <c r="C2407">
        <v>2</v>
      </c>
      <c r="D2407">
        <v>2.4</v>
      </c>
      <c r="E2407" s="4">
        <v>2.15</v>
      </c>
    </row>
    <row r="2408" spans="1:5" x14ac:dyDescent="0.35">
      <c r="A2408" s="1">
        <v>45872</v>
      </c>
      <c r="B2408" s="2">
        <v>45872</v>
      </c>
      <c r="C2408">
        <v>2</v>
      </c>
      <c r="D2408">
        <v>2.4</v>
      </c>
      <c r="E2408" s="4">
        <v>2.15</v>
      </c>
    </row>
    <row r="2409" spans="1:5" x14ac:dyDescent="0.35">
      <c r="A2409" s="1">
        <v>45873</v>
      </c>
      <c r="B2409" s="2">
        <v>45873</v>
      </c>
      <c r="C2409">
        <v>2</v>
      </c>
      <c r="D2409">
        <v>2.4</v>
      </c>
      <c r="E2409" s="4">
        <v>2.15</v>
      </c>
    </row>
    <row r="2410" spans="1:5" x14ac:dyDescent="0.35">
      <c r="A2410" s="1">
        <v>45874</v>
      </c>
      <c r="B2410" s="2">
        <v>45874</v>
      </c>
      <c r="C2410">
        <v>2</v>
      </c>
      <c r="D2410">
        <v>2.4</v>
      </c>
      <c r="E2410" s="4">
        <v>2.15</v>
      </c>
    </row>
    <row r="2411" spans="1:5" x14ac:dyDescent="0.35">
      <c r="A2411" s="1">
        <v>45875</v>
      </c>
      <c r="B2411" s="2">
        <v>45875</v>
      </c>
      <c r="C2411">
        <v>2</v>
      </c>
      <c r="D2411">
        <v>2.4</v>
      </c>
      <c r="E2411" s="4">
        <v>2.15</v>
      </c>
    </row>
    <row r="2412" spans="1:5" x14ac:dyDescent="0.35">
      <c r="A2412" s="1">
        <v>45876</v>
      </c>
      <c r="B2412" s="2">
        <v>45876</v>
      </c>
      <c r="C2412">
        <v>2</v>
      </c>
      <c r="D2412">
        <v>2.4</v>
      </c>
      <c r="E2412" s="4">
        <v>2.15</v>
      </c>
    </row>
    <row r="2413" spans="1:5" x14ac:dyDescent="0.35">
      <c r="A2413" s="1">
        <v>45877</v>
      </c>
      <c r="B2413" s="2">
        <v>45877</v>
      </c>
      <c r="C2413">
        <v>2</v>
      </c>
      <c r="D2413">
        <v>2.4</v>
      </c>
      <c r="E2413" s="4">
        <v>2.15</v>
      </c>
    </row>
    <row r="2414" spans="1:5" x14ac:dyDescent="0.35">
      <c r="A2414" s="1">
        <v>45878</v>
      </c>
      <c r="B2414" s="2">
        <v>45878</v>
      </c>
      <c r="C2414">
        <v>2</v>
      </c>
      <c r="D2414">
        <v>2.4</v>
      </c>
      <c r="E2414" s="4">
        <v>2.15</v>
      </c>
    </row>
    <row r="2415" spans="1:5" x14ac:dyDescent="0.35">
      <c r="A2415" s="1">
        <v>45879</v>
      </c>
      <c r="B2415" s="2">
        <v>45879</v>
      </c>
      <c r="C2415">
        <v>2</v>
      </c>
      <c r="D2415">
        <v>2.4</v>
      </c>
      <c r="E2415" s="4">
        <v>2.15</v>
      </c>
    </row>
    <row r="2416" spans="1:5" x14ac:dyDescent="0.35">
      <c r="A2416" s="1">
        <v>45880</v>
      </c>
      <c r="B2416" s="2">
        <v>45880</v>
      </c>
      <c r="C2416">
        <v>2</v>
      </c>
      <c r="D2416">
        <v>2.4</v>
      </c>
      <c r="E2416" s="4">
        <v>2.15</v>
      </c>
    </row>
    <row r="2417" spans="1:5" x14ac:dyDescent="0.35">
      <c r="A2417" s="1">
        <v>45881</v>
      </c>
      <c r="B2417" s="2">
        <v>45881</v>
      </c>
      <c r="C2417">
        <v>2</v>
      </c>
      <c r="D2417">
        <v>2.4</v>
      </c>
      <c r="E2417" s="4">
        <v>2.15</v>
      </c>
    </row>
    <row r="2418" spans="1:5" x14ac:dyDescent="0.35">
      <c r="A2418" s="1">
        <v>45882</v>
      </c>
      <c r="B2418" s="2">
        <v>45882</v>
      </c>
      <c r="C2418">
        <v>2</v>
      </c>
      <c r="D2418">
        <v>2.4</v>
      </c>
      <c r="E2418" s="4">
        <v>2.15</v>
      </c>
    </row>
    <row r="2419" spans="1:5" x14ac:dyDescent="0.35">
      <c r="A2419" s="1">
        <v>45883</v>
      </c>
      <c r="B2419" s="2">
        <v>45883</v>
      </c>
      <c r="C2419">
        <v>2</v>
      </c>
      <c r="D2419">
        <v>2.4</v>
      </c>
      <c r="E2419" s="4">
        <v>2.15</v>
      </c>
    </row>
    <row r="2420" spans="1:5" x14ac:dyDescent="0.35">
      <c r="A2420" s="1">
        <v>45884</v>
      </c>
      <c r="B2420" s="2">
        <v>45884</v>
      </c>
      <c r="C2420">
        <v>2</v>
      </c>
      <c r="D2420">
        <v>2.4</v>
      </c>
      <c r="E2420" s="4">
        <v>2.15</v>
      </c>
    </row>
    <row r="2421" spans="1:5" x14ac:dyDescent="0.35">
      <c r="A2421" s="1">
        <v>45885</v>
      </c>
      <c r="B2421" s="2">
        <v>45885</v>
      </c>
      <c r="C2421">
        <v>2</v>
      </c>
      <c r="D2421">
        <v>2.4</v>
      </c>
      <c r="E2421" s="4">
        <v>2.15</v>
      </c>
    </row>
    <row r="2422" spans="1:5" x14ac:dyDescent="0.35">
      <c r="A2422" s="1">
        <v>45886</v>
      </c>
      <c r="B2422" s="2">
        <v>45886</v>
      </c>
      <c r="C2422">
        <v>2</v>
      </c>
      <c r="D2422">
        <v>2.4</v>
      </c>
      <c r="E2422" s="4">
        <v>2.15</v>
      </c>
    </row>
    <row r="2423" spans="1:5" x14ac:dyDescent="0.35">
      <c r="A2423" s="1">
        <v>45887</v>
      </c>
      <c r="B2423" s="2">
        <v>45887</v>
      </c>
      <c r="C2423">
        <v>2</v>
      </c>
      <c r="D2423">
        <v>2.4</v>
      </c>
      <c r="E2423" s="4">
        <v>2.15</v>
      </c>
    </row>
    <row r="2424" spans="1:5" x14ac:dyDescent="0.35">
      <c r="A2424" s="1">
        <v>45888</v>
      </c>
      <c r="B2424" s="2">
        <v>45888</v>
      </c>
      <c r="C2424">
        <v>2</v>
      </c>
      <c r="D2424">
        <v>2.4</v>
      </c>
      <c r="E2424" s="4">
        <v>2.15</v>
      </c>
    </row>
    <row r="2425" spans="1:5" x14ac:dyDescent="0.35">
      <c r="A2425" s="1">
        <v>45889</v>
      </c>
      <c r="B2425" s="2">
        <v>45889</v>
      </c>
      <c r="C2425">
        <v>2</v>
      </c>
      <c r="D2425">
        <v>2.4</v>
      </c>
      <c r="E2425" s="4">
        <v>2.15</v>
      </c>
    </row>
    <row r="2426" spans="1:5" x14ac:dyDescent="0.35">
      <c r="A2426" s="1">
        <v>45890</v>
      </c>
      <c r="B2426" s="2">
        <v>45890</v>
      </c>
      <c r="C2426">
        <v>2</v>
      </c>
      <c r="D2426">
        <v>2.4</v>
      </c>
      <c r="E2426" s="4">
        <v>2.15</v>
      </c>
    </row>
    <row r="2427" spans="1:5" x14ac:dyDescent="0.35">
      <c r="A2427" s="1">
        <v>45891</v>
      </c>
      <c r="B2427" s="2">
        <v>45891</v>
      </c>
      <c r="C2427">
        <v>2</v>
      </c>
      <c r="D2427">
        <v>2.4</v>
      </c>
      <c r="E2427" s="4">
        <v>2.15</v>
      </c>
    </row>
    <row r="2428" spans="1:5" x14ac:dyDescent="0.35">
      <c r="A2428" s="1">
        <v>45892</v>
      </c>
      <c r="B2428" s="2">
        <v>45892</v>
      </c>
      <c r="C2428">
        <v>2</v>
      </c>
      <c r="D2428">
        <v>2.4</v>
      </c>
      <c r="E2428" s="4">
        <v>2.15</v>
      </c>
    </row>
    <row r="2429" spans="1:5" x14ac:dyDescent="0.35">
      <c r="A2429" s="1">
        <v>45893</v>
      </c>
      <c r="B2429" s="2">
        <v>45893</v>
      </c>
      <c r="C2429">
        <v>2</v>
      </c>
      <c r="D2429">
        <v>2.4</v>
      </c>
      <c r="E2429" s="4">
        <v>2.15</v>
      </c>
    </row>
    <row r="2430" spans="1:5" x14ac:dyDescent="0.35">
      <c r="A2430" s="1">
        <v>45894</v>
      </c>
      <c r="B2430" s="2">
        <v>45894</v>
      </c>
      <c r="C2430">
        <v>2</v>
      </c>
      <c r="D2430">
        <v>2.4</v>
      </c>
      <c r="E2430" s="4">
        <v>2.15</v>
      </c>
    </row>
    <row r="2431" spans="1:5" x14ac:dyDescent="0.35">
      <c r="A2431" s="1">
        <v>45895</v>
      </c>
      <c r="B2431" s="2">
        <v>45895</v>
      </c>
      <c r="C2431">
        <v>2</v>
      </c>
      <c r="D2431">
        <v>2.4</v>
      </c>
      <c r="E2431" s="4">
        <v>2.15</v>
      </c>
    </row>
    <row r="2432" spans="1:5" x14ac:dyDescent="0.35">
      <c r="A2432" s="1">
        <v>45896</v>
      </c>
      <c r="B2432" s="2">
        <v>45896</v>
      </c>
      <c r="C2432">
        <v>2</v>
      </c>
      <c r="D2432">
        <v>2.4</v>
      </c>
      <c r="E2432" s="4">
        <v>2.15</v>
      </c>
    </row>
    <row r="2433" spans="1:5" x14ac:dyDescent="0.35">
      <c r="A2433" s="1">
        <v>45897</v>
      </c>
      <c r="B2433" s="2">
        <v>45897</v>
      </c>
      <c r="C2433">
        <v>2</v>
      </c>
      <c r="D2433">
        <v>2.4</v>
      </c>
      <c r="E2433" s="4">
        <v>2.15</v>
      </c>
    </row>
    <row r="2434" spans="1:5" x14ac:dyDescent="0.35">
      <c r="A2434" s="1">
        <v>45898</v>
      </c>
      <c r="B2434" s="2">
        <v>45898</v>
      </c>
      <c r="C2434">
        <v>2</v>
      </c>
      <c r="D2434">
        <v>2.4</v>
      </c>
      <c r="E2434" s="4">
        <v>2.15</v>
      </c>
    </row>
    <row r="2435" spans="1:5" x14ac:dyDescent="0.35">
      <c r="A2435" s="1">
        <v>45899</v>
      </c>
      <c r="B2435" s="2">
        <v>45899</v>
      </c>
      <c r="C2435">
        <v>2</v>
      </c>
      <c r="D2435">
        <v>2.4</v>
      </c>
      <c r="E2435" s="4">
        <v>2.15</v>
      </c>
    </row>
    <row r="2436" spans="1:5" x14ac:dyDescent="0.35">
      <c r="A2436" s="1">
        <v>45900</v>
      </c>
      <c r="B2436" s="2">
        <v>45900</v>
      </c>
      <c r="C2436">
        <v>2</v>
      </c>
      <c r="D2436">
        <v>2.4</v>
      </c>
      <c r="E2436" s="4">
        <v>2.15</v>
      </c>
    </row>
    <row r="2437" spans="1:5" x14ac:dyDescent="0.35">
      <c r="A2437" s="1">
        <v>45901</v>
      </c>
      <c r="B2437" s="2">
        <v>45901</v>
      </c>
      <c r="C2437">
        <v>2</v>
      </c>
      <c r="D2437">
        <v>2.4</v>
      </c>
      <c r="E2437" s="4">
        <v>2.15</v>
      </c>
    </row>
    <row r="2438" spans="1:5" x14ac:dyDescent="0.35">
      <c r="A2438" s="1">
        <v>45902</v>
      </c>
      <c r="B2438" s="2">
        <v>45902</v>
      </c>
      <c r="C2438">
        <v>2</v>
      </c>
      <c r="D2438">
        <v>2.4</v>
      </c>
      <c r="E2438" s="4">
        <v>2.15</v>
      </c>
    </row>
    <row r="2439" spans="1:5" x14ac:dyDescent="0.35">
      <c r="A2439" s="1">
        <v>45903</v>
      </c>
      <c r="B2439" s="2">
        <v>45903</v>
      </c>
      <c r="C2439">
        <v>2</v>
      </c>
      <c r="D2439">
        <v>2.4</v>
      </c>
      <c r="E2439" s="4">
        <v>2.15</v>
      </c>
    </row>
    <row r="2440" spans="1:5" x14ac:dyDescent="0.35">
      <c r="A2440" s="1">
        <v>45904</v>
      </c>
      <c r="B2440" s="2">
        <v>45904</v>
      </c>
      <c r="C2440">
        <v>2</v>
      </c>
      <c r="D2440">
        <v>2.4</v>
      </c>
      <c r="E2440" s="4">
        <v>2.15</v>
      </c>
    </row>
    <row r="2441" spans="1:5" x14ac:dyDescent="0.35">
      <c r="A2441" s="1">
        <v>45905</v>
      </c>
      <c r="B2441" s="2">
        <v>45905</v>
      </c>
      <c r="C2441">
        <v>2</v>
      </c>
      <c r="D2441">
        <v>2.4</v>
      </c>
      <c r="E2441" s="4">
        <v>2.15</v>
      </c>
    </row>
    <row r="2442" spans="1:5" x14ac:dyDescent="0.35">
      <c r="A2442" s="1">
        <v>45906</v>
      </c>
      <c r="B2442" s="2">
        <v>45906</v>
      </c>
      <c r="C2442">
        <v>2</v>
      </c>
      <c r="D2442">
        <v>2.4</v>
      </c>
      <c r="E2442" s="4">
        <v>2.15</v>
      </c>
    </row>
    <row r="2443" spans="1:5" x14ac:dyDescent="0.35">
      <c r="A2443" s="1">
        <v>45907</v>
      </c>
      <c r="B2443" s="2">
        <v>45907</v>
      </c>
      <c r="C2443">
        <v>2</v>
      </c>
      <c r="D2443">
        <v>2.4</v>
      </c>
      <c r="E2443" s="4">
        <v>2.15</v>
      </c>
    </row>
    <row r="2444" spans="1:5" x14ac:dyDescent="0.35">
      <c r="A2444" s="1">
        <v>45908</v>
      </c>
      <c r="B2444" s="2">
        <v>45908</v>
      </c>
      <c r="C2444">
        <v>2</v>
      </c>
      <c r="D2444">
        <v>2.4</v>
      </c>
      <c r="E2444" s="4">
        <v>2.15</v>
      </c>
    </row>
    <row r="2445" spans="1:5" x14ac:dyDescent="0.35">
      <c r="A2445" s="1">
        <v>45909</v>
      </c>
      <c r="B2445" s="2">
        <v>45909</v>
      </c>
      <c r="C2445">
        <v>2</v>
      </c>
      <c r="D2445">
        <v>2.4</v>
      </c>
      <c r="E2445" s="4">
        <v>2.15</v>
      </c>
    </row>
    <row r="2446" spans="1:5" x14ac:dyDescent="0.35">
      <c r="A2446" s="1">
        <v>45910</v>
      </c>
      <c r="B2446" s="2">
        <v>45910</v>
      </c>
      <c r="C2446">
        <v>2</v>
      </c>
      <c r="D2446">
        <v>2.4</v>
      </c>
      <c r="E2446" s="4">
        <v>2.15</v>
      </c>
    </row>
    <row r="2447" spans="1:5" x14ac:dyDescent="0.35">
      <c r="A2447" s="1">
        <v>45911</v>
      </c>
      <c r="B2447" s="2">
        <v>45911</v>
      </c>
      <c r="C2447">
        <v>2</v>
      </c>
      <c r="D2447">
        <v>2.4</v>
      </c>
      <c r="E2447" s="4">
        <v>2.15</v>
      </c>
    </row>
    <row r="2448" spans="1:5" x14ac:dyDescent="0.35">
      <c r="A2448" s="1">
        <v>45912</v>
      </c>
      <c r="B2448" s="2">
        <v>45912</v>
      </c>
      <c r="C2448">
        <v>2</v>
      </c>
      <c r="D2448">
        <v>2.4</v>
      </c>
      <c r="E2448" s="4">
        <v>2.15</v>
      </c>
    </row>
    <row r="2449" spans="1:5" x14ac:dyDescent="0.35">
      <c r="A2449" s="1">
        <v>45913</v>
      </c>
      <c r="B2449" s="2">
        <v>45913</v>
      </c>
      <c r="C2449">
        <v>2</v>
      </c>
      <c r="D2449">
        <v>2.4</v>
      </c>
      <c r="E2449" s="4">
        <v>2.15</v>
      </c>
    </row>
    <row r="2450" spans="1:5" x14ac:dyDescent="0.35">
      <c r="A2450" s="1">
        <v>45914</v>
      </c>
      <c r="B2450" s="2">
        <v>45914</v>
      </c>
      <c r="C2450">
        <v>2</v>
      </c>
      <c r="D2450">
        <v>2.4</v>
      </c>
      <c r="E2450" s="4">
        <v>2.15</v>
      </c>
    </row>
    <row r="2451" spans="1:5" x14ac:dyDescent="0.35">
      <c r="A2451" s="1">
        <v>45915</v>
      </c>
      <c r="B2451" s="2">
        <v>45915</v>
      </c>
      <c r="C2451">
        <v>2</v>
      </c>
      <c r="D2451">
        <v>2.4</v>
      </c>
      <c r="E2451" s="4">
        <v>2.15</v>
      </c>
    </row>
    <row r="2452" spans="1:5" x14ac:dyDescent="0.35">
      <c r="A2452" s="1">
        <v>45916</v>
      </c>
      <c r="B2452" s="2">
        <v>45916</v>
      </c>
      <c r="C2452">
        <v>2</v>
      </c>
      <c r="D2452">
        <v>2.4</v>
      </c>
      <c r="E2452" s="4">
        <v>2.15</v>
      </c>
    </row>
    <row r="2453" spans="1:5" x14ac:dyDescent="0.35">
      <c r="A2453" s="1">
        <v>45917</v>
      </c>
      <c r="B2453" s="2">
        <v>45917</v>
      </c>
      <c r="C2453">
        <v>2</v>
      </c>
      <c r="D2453">
        <v>2.4</v>
      </c>
      <c r="E2453" s="4">
        <v>2.15</v>
      </c>
    </row>
    <row r="2454" spans="1:5" x14ac:dyDescent="0.35">
      <c r="A2454" s="1">
        <v>45918</v>
      </c>
      <c r="B2454" s="2">
        <v>45918</v>
      </c>
      <c r="C2454">
        <v>2</v>
      </c>
      <c r="D2454">
        <v>2.4</v>
      </c>
      <c r="E2454" s="4">
        <v>2.15</v>
      </c>
    </row>
    <row r="2455" spans="1:5" x14ac:dyDescent="0.35">
      <c r="A2455" s="1">
        <v>45919</v>
      </c>
      <c r="B2455" s="2">
        <v>45919</v>
      </c>
      <c r="C2455">
        <v>2</v>
      </c>
      <c r="D2455">
        <v>2.4</v>
      </c>
      <c r="E2455" s="4">
        <v>2.15</v>
      </c>
    </row>
    <row r="2456" spans="1:5" x14ac:dyDescent="0.35">
      <c r="A2456" s="1">
        <v>45920</v>
      </c>
      <c r="B2456" s="2">
        <v>45920</v>
      </c>
      <c r="C2456">
        <v>2</v>
      </c>
      <c r="D2456">
        <v>2.4</v>
      </c>
      <c r="E2456" s="4">
        <v>2.15</v>
      </c>
    </row>
    <row r="2457" spans="1:5" x14ac:dyDescent="0.35">
      <c r="A2457" s="1">
        <v>45921</v>
      </c>
      <c r="B2457" s="2">
        <v>45921</v>
      </c>
      <c r="C2457">
        <v>2</v>
      </c>
      <c r="D2457">
        <v>2.4</v>
      </c>
      <c r="E2457" s="4">
        <v>2.15</v>
      </c>
    </row>
    <row r="2458" spans="1:5" x14ac:dyDescent="0.35">
      <c r="A2458" s="1">
        <v>45922</v>
      </c>
      <c r="B2458" s="2">
        <v>45922</v>
      </c>
      <c r="C2458">
        <v>2</v>
      </c>
      <c r="D2458">
        <v>2.4</v>
      </c>
      <c r="E2458" s="4">
        <v>2.15</v>
      </c>
    </row>
    <row r="2459" spans="1:5" x14ac:dyDescent="0.35">
      <c r="A2459" s="1">
        <v>45923</v>
      </c>
      <c r="B2459" s="2">
        <v>45923</v>
      </c>
      <c r="C2459">
        <v>2</v>
      </c>
      <c r="D2459">
        <v>2.4</v>
      </c>
      <c r="E2459" s="4">
        <v>2.15</v>
      </c>
    </row>
    <row r="2460" spans="1:5" x14ac:dyDescent="0.35">
      <c r="A2460" s="1">
        <v>45924</v>
      </c>
      <c r="B2460" s="2">
        <v>45924</v>
      </c>
      <c r="C2460">
        <v>2</v>
      </c>
      <c r="D2460">
        <v>2.4</v>
      </c>
      <c r="E2460" s="4">
        <v>2.15</v>
      </c>
    </row>
    <row r="2461" spans="1:5" x14ac:dyDescent="0.35">
      <c r="A2461" s="1">
        <v>45925</v>
      </c>
      <c r="B2461" s="2">
        <v>45925</v>
      </c>
      <c r="C2461">
        <v>2</v>
      </c>
      <c r="D2461">
        <v>2.4</v>
      </c>
      <c r="E2461" s="4">
        <v>2.15</v>
      </c>
    </row>
    <row r="2462" spans="1:5" x14ac:dyDescent="0.35">
      <c r="A2462" s="1">
        <v>45926</v>
      </c>
      <c r="B2462" s="2">
        <v>45926</v>
      </c>
      <c r="C2462">
        <v>2</v>
      </c>
      <c r="D2462">
        <v>2.4</v>
      </c>
      <c r="E2462" s="4">
        <v>2.15</v>
      </c>
    </row>
    <row r="2463" spans="1:5" x14ac:dyDescent="0.35">
      <c r="A2463" s="1">
        <v>45927</v>
      </c>
      <c r="B2463" s="2">
        <v>45927</v>
      </c>
      <c r="C2463">
        <v>2</v>
      </c>
      <c r="D2463">
        <v>2.4</v>
      </c>
      <c r="E2463" s="4">
        <v>2.15</v>
      </c>
    </row>
    <row r="2464" spans="1:5" x14ac:dyDescent="0.35">
      <c r="A2464" s="1">
        <v>45928</v>
      </c>
      <c r="B2464" s="2">
        <v>45928</v>
      </c>
      <c r="C2464">
        <v>2</v>
      </c>
      <c r="D2464">
        <v>2.4</v>
      </c>
      <c r="E2464" s="4">
        <v>2.15</v>
      </c>
    </row>
    <row r="2465" spans="1:5" x14ac:dyDescent="0.35">
      <c r="A2465" s="1">
        <v>45929</v>
      </c>
      <c r="B2465" s="2">
        <v>45929</v>
      </c>
      <c r="C2465">
        <v>2</v>
      </c>
      <c r="D2465">
        <v>2.4</v>
      </c>
      <c r="E2465" s="4">
        <v>2.15</v>
      </c>
    </row>
    <row r="2466" spans="1:5" x14ac:dyDescent="0.35">
      <c r="A2466" s="1">
        <v>45930</v>
      </c>
      <c r="B2466" s="2">
        <v>45930</v>
      </c>
      <c r="C2466">
        <v>2</v>
      </c>
      <c r="D2466">
        <v>2.4</v>
      </c>
      <c r="E2466" s="4">
        <v>2.15</v>
      </c>
    </row>
    <row r="2467" spans="1:5" x14ac:dyDescent="0.35">
      <c r="A2467" s="1">
        <v>45931</v>
      </c>
      <c r="B2467" s="2">
        <v>45931</v>
      </c>
      <c r="C2467">
        <v>2</v>
      </c>
      <c r="D2467">
        <v>2.4</v>
      </c>
      <c r="E2467" s="4">
        <v>2.15</v>
      </c>
    </row>
    <row r="2468" spans="1:5" x14ac:dyDescent="0.35">
      <c r="A2468" s="1">
        <v>45932</v>
      </c>
      <c r="B2468" s="2">
        <v>45932</v>
      </c>
      <c r="C2468">
        <v>2</v>
      </c>
      <c r="D2468">
        <v>2.4</v>
      </c>
      <c r="E2468" s="4">
        <v>2.15</v>
      </c>
    </row>
    <row r="2469" spans="1:5" x14ac:dyDescent="0.35">
      <c r="A2469" s="1">
        <v>45933</v>
      </c>
      <c r="B2469" s="2">
        <v>45933</v>
      </c>
      <c r="C2469">
        <v>2</v>
      </c>
      <c r="D2469">
        <v>2.4</v>
      </c>
      <c r="E2469" s="4">
        <v>2.15</v>
      </c>
    </row>
    <row r="2470" spans="1:5" x14ac:dyDescent="0.35">
      <c r="A2470" s="1">
        <v>45934</v>
      </c>
      <c r="B2470" s="2">
        <v>45934</v>
      </c>
      <c r="C2470">
        <v>2</v>
      </c>
      <c r="D2470">
        <v>2.4</v>
      </c>
      <c r="E2470" s="4">
        <v>2.15</v>
      </c>
    </row>
    <row r="2471" spans="1:5" x14ac:dyDescent="0.35">
      <c r="A2471" s="1">
        <v>45935</v>
      </c>
      <c r="B2471" s="2">
        <v>45935</v>
      </c>
      <c r="C2471">
        <v>2</v>
      </c>
      <c r="D2471">
        <v>2.4</v>
      </c>
      <c r="E2471" s="4">
        <v>2.15</v>
      </c>
    </row>
    <row r="2472" spans="1:5" x14ac:dyDescent="0.35">
      <c r="A2472" s="1">
        <v>45936</v>
      </c>
      <c r="B2472" s="2">
        <v>45936</v>
      </c>
      <c r="C2472">
        <v>2</v>
      </c>
      <c r="D2472">
        <v>2.4</v>
      </c>
      <c r="E2472" s="4">
        <v>2.15</v>
      </c>
    </row>
    <row r="2473" spans="1:5" x14ac:dyDescent="0.35">
      <c r="A2473" s="1">
        <v>45937</v>
      </c>
      <c r="B2473" s="2">
        <v>45937</v>
      </c>
      <c r="C2473">
        <v>2</v>
      </c>
      <c r="D2473">
        <v>2.4</v>
      </c>
      <c r="E2473" s="4">
        <v>2.15</v>
      </c>
    </row>
    <row r="2474" spans="1:5" x14ac:dyDescent="0.35">
      <c r="A2474" s="1">
        <v>45938</v>
      </c>
      <c r="B2474" s="2">
        <v>45938</v>
      </c>
      <c r="C2474">
        <v>2</v>
      </c>
      <c r="D2474">
        <v>2.4</v>
      </c>
      <c r="E2474" s="4">
        <v>2.15</v>
      </c>
    </row>
    <row r="2475" spans="1:5" x14ac:dyDescent="0.35">
      <c r="A2475" s="1">
        <v>45939</v>
      </c>
      <c r="B2475" s="2">
        <v>45939</v>
      </c>
      <c r="C2475">
        <v>2</v>
      </c>
      <c r="D2475">
        <v>2.4</v>
      </c>
      <c r="E2475" s="4">
        <v>2.15</v>
      </c>
    </row>
    <row r="2476" spans="1:5" x14ac:dyDescent="0.35">
      <c r="A2476" s="1">
        <v>45940</v>
      </c>
      <c r="B2476" s="2">
        <v>45940</v>
      </c>
      <c r="C2476">
        <v>2</v>
      </c>
      <c r="D2476">
        <v>2.4</v>
      </c>
      <c r="E2476" s="4">
        <v>2.15</v>
      </c>
    </row>
    <row r="2477" spans="1:5" x14ac:dyDescent="0.35">
      <c r="A2477" s="1">
        <v>45941</v>
      </c>
      <c r="B2477" s="2">
        <v>45941</v>
      </c>
      <c r="C2477">
        <v>2</v>
      </c>
      <c r="D2477">
        <v>2.4</v>
      </c>
      <c r="E2477" s="4">
        <v>2.15</v>
      </c>
    </row>
    <row r="2478" spans="1:5" x14ac:dyDescent="0.35">
      <c r="A2478" s="1">
        <v>45942</v>
      </c>
      <c r="B2478" s="2">
        <v>45942</v>
      </c>
      <c r="C2478">
        <v>2</v>
      </c>
      <c r="D2478">
        <v>2.4</v>
      </c>
      <c r="E2478" s="4">
        <v>2.15</v>
      </c>
    </row>
    <row r="2479" spans="1:5" x14ac:dyDescent="0.35">
      <c r="A2479" s="1">
        <v>45943</v>
      </c>
      <c r="B2479" s="2">
        <v>45943</v>
      </c>
      <c r="C2479">
        <v>2</v>
      </c>
      <c r="D2479">
        <v>2.4</v>
      </c>
      <c r="E2479" s="4">
        <v>2.15</v>
      </c>
    </row>
    <row r="2480" spans="1:5" x14ac:dyDescent="0.35">
      <c r="A2480" s="1">
        <v>45944</v>
      </c>
      <c r="B2480" s="2">
        <v>45944</v>
      </c>
      <c r="C2480">
        <v>2</v>
      </c>
      <c r="D2480">
        <v>2.4</v>
      </c>
      <c r="E2480" s="4">
        <v>2.15</v>
      </c>
    </row>
    <row r="2481" spans="1:5" x14ac:dyDescent="0.35">
      <c r="A2481" s="1">
        <v>45945</v>
      </c>
      <c r="B2481" s="2">
        <v>45945</v>
      </c>
      <c r="C2481">
        <v>2</v>
      </c>
      <c r="D2481">
        <v>2.4</v>
      </c>
      <c r="E2481" s="4">
        <v>2.15</v>
      </c>
    </row>
    <row r="2482" spans="1:5" x14ac:dyDescent="0.35">
      <c r="A2482" s="1">
        <v>45946</v>
      </c>
      <c r="B2482" s="2">
        <v>45946</v>
      </c>
      <c r="C2482">
        <v>2</v>
      </c>
      <c r="D2482">
        <v>2.4</v>
      </c>
      <c r="E2482" s="4">
        <v>2.15</v>
      </c>
    </row>
    <row r="2483" spans="1:5" x14ac:dyDescent="0.35">
      <c r="A2483" s="1">
        <v>45947</v>
      </c>
      <c r="B2483" s="2">
        <v>45947</v>
      </c>
      <c r="C2483">
        <v>2</v>
      </c>
      <c r="D2483">
        <v>2.4</v>
      </c>
      <c r="E2483" s="4">
        <v>2.15</v>
      </c>
    </row>
    <row r="2484" spans="1:5" x14ac:dyDescent="0.35">
      <c r="A2484" s="1">
        <v>45948</v>
      </c>
      <c r="B2484" s="2">
        <v>45948</v>
      </c>
      <c r="C2484">
        <v>2</v>
      </c>
      <c r="D2484">
        <v>2.4</v>
      </c>
      <c r="E2484" s="4">
        <v>2.15</v>
      </c>
    </row>
    <row r="2485" spans="1:5" x14ac:dyDescent="0.35">
      <c r="A2485" s="1">
        <v>45949</v>
      </c>
      <c r="B2485" s="2">
        <v>45949</v>
      </c>
      <c r="C2485">
        <v>2</v>
      </c>
      <c r="D2485">
        <v>2.4</v>
      </c>
      <c r="E2485" s="4">
        <v>2.15</v>
      </c>
    </row>
    <row r="2486" spans="1:5" x14ac:dyDescent="0.35">
      <c r="A2486" s="1">
        <v>45950</v>
      </c>
      <c r="B2486" s="2">
        <v>45950</v>
      </c>
      <c r="C2486">
        <v>2</v>
      </c>
      <c r="D2486">
        <v>2.4</v>
      </c>
      <c r="E2486" s="4">
        <v>2.15</v>
      </c>
    </row>
    <row r="2487" spans="1:5" x14ac:dyDescent="0.35">
      <c r="A2487" s="1">
        <v>45951</v>
      </c>
      <c r="B2487" s="2">
        <v>45951</v>
      </c>
      <c r="C2487">
        <v>2</v>
      </c>
      <c r="D2487">
        <v>2.4</v>
      </c>
      <c r="E2487" s="4">
        <v>2.15</v>
      </c>
    </row>
    <row r="2488" spans="1:5" x14ac:dyDescent="0.35">
      <c r="A2488" s="1">
        <v>45952</v>
      </c>
      <c r="B2488" s="2">
        <v>45952</v>
      </c>
      <c r="C2488">
        <v>2</v>
      </c>
      <c r="D2488">
        <v>2.4</v>
      </c>
      <c r="E2488" s="4">
        <v>2.15</v>
      </c>
    </row>
    <row r="2489" spans="1:5" x14ac:dyDescent="0.35">
      <c r="A2489" s="1">
        <v>45953</v>
      </c>
      <c r="B2489" s="2">
        <v>45953</v>
      </c>
      <c r="C2489">
        <v>2</v>
      </c>
      <c r="D2489">
        <v>2.4</v>
      </c>
      <c r="E2489" s="4">
        <v>2.15</v>
      </c>
    </row>
    <row r="2490" spans="1:5" x14ac:dyDescent="0.35">
      <c r="A2490" s="1">
        <v>45954</v>
      </c>
      <c r="B2490" s="2">
        <v>45954</v>
      </c>
      <c r="C2490">
        <v>2</v>
      </c>
      <c r="D2490">
        <v>2.4</v>
      </c>
      <c r="E2490" s="4">
        <v>2.15</v>
      </c>
    </row>
    <row r="2491" spans="1:5" x14ac:dyDescent="0.35">
      <c r="A2491" s="1">
        <v>45955</v>
      </c>
      <c r="B2491" s="2">
        <v>45955</v>
      </c>
      <c r="C2491">
        <v>2</v>
      </c>
      <c r="D2491">
        <v>2.4</v>
      </c>
      <c r="E2491" s="4">
        <v>2.15</v>
      </c>
    </row>
    <row r="2492" spans="1:5" x14ac:dyDescent="0.35">
      <c r="A2492" s="1">
        <v>45956</v>
      </c>
      <c r="B2492" s="2">
        <v>45956</v>
      </c>
      <c r="C2492">
        <v>2</v>
      </c>
      <c r="D2492">
        <v>2.4</v>
      </c>
      <c r="E2492" s="4">
        <v>2.15</v>
      </c>
    </row>
    <row r="2493" spans="1:5" x14ac:dyDescent="0.35">
      <c r="A2493" s="1">
        <v>45957</v>
      </c>
      <c r="B2493" s="2">
        <v>45957</v>
      </c>
      <c r="C2493">
        <v>2</v>
      </c>
      <c r="D2493">
        <v>2.4</v>
      </c>
      <c r="E2493" s="4">
        <v>2.15</v>
      </c>
    </row>
    <row r="2494" spans="1:5" x14ac:dyDescent="0.35">
      <c r="A2494" s="1">
        <v>45958</v>
      </c>
      <c r="B2494" s="2">
        <v>45958</v>
      </c>
      <c r="C2494">
        <v>2</v>
      </c>
      <c r="D2494">
        <v>2.4</v>
      </c>
      <c r="E2494" s="4">
        <v>2.15</v>
      </c>
    </row>
    <row r="2495" spans="1:5" x14ac:dyDescent="0.35">
      <c r="A2495" s="1">
        <v>45959</v>
      </c>
      <c r="B2495" s="2">
        <v>45959</v>
      </c>
      <c r="C2495">
        <v>2</v>
      </c>
      <c r="D2495">
        <v>2.4</v>
      </c>
      <c r="E2495" s="4">
        <v>2.15</v>
      </c>
    </row>
    <row r="2496" spans="1:5" x14ac:dyDescent="0.35">
      <c r="A2496" s="1">
        <v>45960</v>
      </c>
      <c r="B2496" s="2">
        <v>45960</v>
      </c>
      <c r="C2496">
        <v>2</v>
      </c>
      <c r="D2496">
        <v>2.4</v>
      </c>
      <c r="E2496" s="4">
        <v>2.15</v>
      </c>
    </row>
    <row r="2497" spans="1:5" x14ac:dyDescent="0.35">
      <c r="A2497" s="1">
        <v>45961</v>
      </c>
      <c r="B2497" s="2">
        <v>45961</v>
      </c>
      <c r="C2497">
        <v>2</v>
      </c>
      <c r="D2497">
        <v>2.4</v>
      </c>
      <c r="E2497" s="4">
        <v>2.15</v>
      </c>
    </row>
    <row r="2498" spans="1:5" x14ac:dyDescent="0.35">
      <c r="A2498" s="1">
        <v>45962</v>
      </c>
      <c r="B2498" s="2">
        <v>45962</v>
      </c>
      <c r="C2498">
        <v>2</v>
      </c>
      <c r="D2498">
        <v>2.4</v>
      </c>
      <c r="E2498" s="4">
        <v>2.15</v>
      </c>
    </row>
    <row r="2499" spans="1:5" x14ac:dyDescent="0.35">
      <c r="A2499" s="1">
        <v>45963</v>
      </c>
      <c r="B2499" s="2">
        <v>45963</v>
      </c>
      <c r="C2499">
        <v>2</v>
      </c>
      <c r="D2499">
        <v>2.4</v>
      </c>
      <c r="E2499" s="4">
        <v>2.15</v>
      </c>
    </row>
    <row r="2500" spans="1:5" x14ac:dyDescent="0.35">
      <c r="A2500" s="1">
        <v>45964</v>
      </c>
      <c r="B2500" s="2">
        <v>45964</v>
      </c>
      <c r="C2500">
        <v>2</v>
      </c>
      <c r="D2500">
        <v>2.4</v>
      </c>
      <c r="E2500" s="4">
        <v>2.15</v>
      </c>
    </row>
    <row r="2501" spans="1:5" x14ac:dyDescent="0.35">
      <c r="A2501" s="1">
        <v>45965</v>
      </c>
      <c r="B2501" s="2">
        <v>45965</v>
      </c>
      <c r="C2501">
        <v>2</v>
      </c>
      <c r="D2501">
        <v>2.4</v>
      </c>
      <c r="E2501" s="4">
        <v>2.15</v>
      </c>
    </row>
    <row r="2502" spans="1:5" x14ac:dyDescent="0.35">
      <c r="A2502" s="1">
        <v>45966</v>
      </c>
      <c r="B2502" s="2">
        <v>45966</v>
      </c>
      <c r="C2502">
        <v>2</v>
      </c>
      <c r="D2502">
        <v>2.4</v>
      </c>
      <c r="E2502" s="4">
        <v>2.15</v>
      </c>
    </row>
    <row r="2503" spans="1:5" x14ac:dyDescent="0.35">
      <c r="A2503" s="1">
        <v>45967</v>
      </c>
      <c r="B2503" s="2">
        <v>45967</v>
      </c>
      <c r="C2503">
        <v>2</v>
      </c>
      <c r="D2503">
        <v>2.4</v>
      </c>
      <c r="E2503" s="4">
        <v>2.15</v>
      </c>
    </row>
    <row r="2504" spans="1:5" x14ac:dyDescent="0.35">
      <c r="A2504" s="1">
        <v>45968</v>
      </c>
      <c r="B2504" s="2">
        <v>45968</v>
      </c>
      <c r="C2504">
        <v>2</v>
      </c>
      <c r="D2504">
        <v>2.4</v>
      </c>
      <c r="E2504" s="4">
        <v>2.15</v>
      </c>
    </row>
    <row r="2505" spans="1:5" x14ac:dyDescent="0.35">
      <c r="A2505" s="1">
        <v>45969</v>
      </c>
      <c r="B2505" s="2">
        <v>45969</v>
      </c>
      <c r="C2505">
        <v>2</v>
      </c>
      <c r="D2505">
        <v>2.4</v>
      </c>
      <c r="E2505" s="4">
        <v>2.15</v>
      </c>
    </row>
    <row r="2506" spans="1:5" x14ac:dyDescent="0.35">
      <c r="A2506" s="1">
        <v>45970</v>
      </c>
      <c r="B2506" s="2">
        <v>45970</v>
      </c>
      <c r="C2506">
        <v>2</v>
      </c>
      <c r="D2506">
        <v>2.4</v>
      </c>
      <c r="E2506" s="4">
        <v>2.15</v>
      </c>
    </row>
    <row r="2507" spans="1:5" x14ac:dyDescent="0.35">
      <c r="A2507" s="1">
        <v>45971</v>
      </c>
      <c r="B2507" s="2">
        <v>45971</v>
      </c>
      <c r="C2507">
        <v>2</v>
      </c>
      <c r="D2507">
        <v>2.4</v>
      </c>
      <c r="E2507" s="4">
        <v>2.15</v>
      </c>
    </row>
    <row r="2508" spans="1:5" x14ac:dyDescent="0.35">
      <c r="A2508" s="1">
        <v>45972</v>
      </c>
      <c r="B2508" s="2">
        <v>45972</v>
      </c>
      <c r="C2508">
        <v>2</v>
      </c>
      <c r="D2508">
        <v>2.4</v>
      </c>
      <c r="E2508" s="4">
        <v>2.15</v>
      </c>
    </row>
    <row r="2509" spans="1:5" x14ac:dyDescent="0.35">
      <c r="A2509" s="1">
        <v>45973</v>
      </c>
      <c r="B2509" s="2">
        <v>45973</v>
      </c>
      <c r="C2509">
        <v>2</v>
      </c>
      <c r="D2509">
        <v>2.4</v>
      </c>
      <c r="E2509" s="4">
        <v>2.15</v>
      </c>
    </row>
    <row r="2510" spans="1:5" x14ac:dyDescent="0.35">
      <c r="A2510" s="1">
        <v>45974</v>
      </c>
      <c r="B2510" s="2">
        <v>45974</v>
      </c>
      <c r="C2510">
        <v>2</v>
      </c>
      <c r="D2510">
        <v>2.4</v>
      </c>
      <c r="E2510" s="4">
        <v>2.15</v>
      </c>
    </row>
    <row r="2511" spans="1:5" x14ac:dyDescent="0.35">
      <c r="A2511" s="1">
        <v>45975</v>
      </c>
      <c r="B2511" s="2">
        <v>45975</v>
      </c>
      <c r="C2511">
        <v>2</v>
      </c>
      <c r="D2511">
        <v>2.4</v>
      </c>
      <c r="E2511" s="4">
        <v>2.15</v>
      </c>
    </row>
    <row r="2512" spans="1:5" x14ac:dyDescent="0.35">
      <c r="A2512" s="1">
        <v>45976</v>
      </c>
      <c r="B2512" s="2">
        <v>45976</v>
      </c>
      <c r="C2512">
        <v>2</v>
      </c>
      <c r="D2512">
        <v>2.4</v>
      </c>
      <c r="E2512" s="4">
        <v>2.15</v>
      </c>
    </row>
    <row r="2513" spans="1:5" x14ac:dyDescent="0.35">
      <c r="A2513" s="1">
        <v>45977</v>
      </c>
      <c r="B2513" s="2">
        <v>45977</v>
      </c>
      <c r="C2513">
        <v>2</v>
      </c>
      <c r="D2513">
        <v>2.4</v>
      </c>
      <c r="E2513" s="4">
        <v>2.15</v>
      </c>
    </row>
    <row r="2514" spans="1:5" x14ac:dyDescent="0.35">
      <c r="A2514" s="1">
        <v>45978</v>
      </c>
      <c r="B2514" s="2">
        <v>45978</v>
      </c>
      <c r="C2514">
        <v>2</v>
      </c>
      <c r="D2514">
        <v>2.4</v>
      </c>
      <c r="E2514" s="4">
        <v>2.15</v>
      </c>
    </row>
    <row r="2515" spans="1:5" x14ac:dyDescent="0.35">
      <c r="A2515" s="1">
        <v>45979</v>
      </c>
      <c r="B2515" s="2">
        <v>45979</v>
      </c>
      <c r="C2515">
        <v>2</v>
      </c>
      <c r="D2515">
        <v>2.4</v>
      </c>
      <c r="E2515" s="4">
        <v>2.15</v>
      </c>
    </row>
    <row r="2516" spans="1:5" x14ac:dyDescent="0.35">
      <c r="A2516" s="1">
        <v>45980</v>
      </c>
      <c r="B2516" s="2">
        <v>45980</v>
      </c>
      <c r="C2516">
        <v>2</v>
      </c>
      <c r="D2516">
        <v>2.4</v>
      </c>
      <c r="E2516" s="4">
        <v>2.15</v>
      </c>
    </row>
    <row r="2517" spans="1:5" x14ac:dyDescent="0.35">
      <c r="A2517" s="1">
        <v>45981</v>
      </c>
      <c r="B2517" s="2">
        <v>45981</v>
      </c>
      <c r="C2517">
        <v>2</v>
      </c>
      <c r="D2517">
        <v>2.4</v>
      </c>
      <c r="E2517" s="4">
        <v>2.15</v>
      </c>
    </row>
    <row r="2518" spans="1:5" x14ac:dyDescent="0.35">
      <c r="A2518" s="1">
        <v>45982</v>
      </c>
      <c r="B2518" s="2">
        <v>45982</v>
      </c>
      <c r="C2518">
        <v>2</v>
      </c>
      <c r="D2518">
        <v>2.4</v>
      </c>
      <c r="E2518" s="4">
        <v>2.15</v>
      </c>
    </row>
    <row r="2519" spans="1:5" x14ac:dyDescent="0.35">
      <c r="A2519" s="1">
        <v>45983</v>
      </c>
      <c r="B2519" s="2">
        <v>45983</v>
      </c>
      <c r="C2519">
        <v>2</v>
      </c>
      <c r="D2519">
        <v>2.4</v>
      </c>
      <c r="E2519" s="4">
        <v>2.15</v>
      </c>
    </row>
    <row r="2520" spans="1:5" x14ac:dyDescent="0.35">
      <c r="A2520" s="1">
        <v>45984</v>
      </c>
      <c r="B2520" s="2">
        <v>45984</v>
      </c>
      <c r="C2520">
        <v>2</v>
      </c>
      <c r="D2520">
        <v>2.4</v>
      </c>
      <c r="E2520" s="4">
        <v>2.15</v>
      </c>
    </row>
    <row r="2521" spans="1:5" x14ac:dyDescent="0.35">
      <c r="A2521" s="1">
        <v>45985</v>
      </c>
      <c r="B2521" s="2">
        <v>45985</v>
      </c>
      <c r="C2521">
        <v>2</v>
      </c>
      <c r="D2521">
        <v>2.4</v>
      </c>
      <c r="E2521" s="4">
        <v>2.15</v>
      </c>
    </row>
    <row r="2522" spans="1:5" x14ac:dyDescent="0.35">
      <c r="A2522" s="1">
        <v>45986</v>
      </c>
      <c r="B2522" s="2">
        <v>45986</v>
      </c>
      <c r="C2522">
        <v>2</v>
      </c>
      <c r="D2522">
        <v>2.4</v>
      </c>
      <c r="E2522" s="4">
        <v>2.15</v>
      </c>
    </row>
    <row r="2523" spans="1:5" x14ac:dyDescent="0.35">
      <c r="A2523" s="1">
        <v>45987</v>
      </c>
      <c r="B2523" s="2">
        <v>45987</v>
      </c>
      <c r="C2523">
        <v>2</v>
      </c>
      <c r="D2523">
        <v>2.4</v>
      </c>
      <c r="E2523" s="4">
        <v>2.15</v>
      </c>
    </row>
    <row r="2524" spans="1:5" x14ac:dyDescent="0.35">
      <c r="A2524" s="1">
        <v>45988</v>
      </c>
      <c r="B2524" s="2">
        <v>45988</v>
      </c>
      <c r="C2524">
        <v>2</v>
      </c>
      <c r="D2524">
        <v>2.4</v>
      </c>
      <c r="E2524" s="4">
        <v>2.15</v>
      </c>
    </row>
    <row r="2525" spans="1:5" x14ac:dyDescent="0.35">
      <c r="A2525" s="1">
        <v>45989</v>
      </c>
      <c r="B2525" s="2">
        <v>45989</v>
      </c>
      <c r="C2525">
        <v>2</v>
      </c>
      <c r="D2525">
        <v>2.4</v>
      </c>
      <c r="E2525" s="4">
        <v>2.15</v>
      </c>
    </row>
    <row r="2526" spans="1:5" x14ac:dyDescent="0.35">
      <c r="A2526" s="1">
        <v>45990</v>
      </c>
      <c r="B2526" s="2">
        <v>45990</v>
      </c>
      <c r="C2526">
        <v>2</v>
      </c>
      <c r="D2526">
        <v>2.4</v>
      </c>
      <c r="E2526" s="4">
        <v>2.15</v>
      </c>
    </row>
    <row r="2527" spans="1:5" x14ac:dyDescent="0.35">
      <c r="A2527" s="1">
        <v>45991</v>
      </c>
      <c r="B2527" s="2">
        <v>45991</v>
      </c>
      <c r="C2527">
        <v>2</v>
      </c>
      <c r="D2527">
        <v>2.4</v>
      </c>
      <c r="E2527" s="4">
        <v>2.15</v>
      </c>
    </row>
    <row r="2528" spans="1:5" x14ac:dyDescent="0.35">
      <c r="A2528" s="1">
        <v>45992</v>
      </c>
      <c r="B2528" s="2">
        <v>45992</v>
      </c>
      <c r="C2528">
        <v>2</v>
      </c>
      <c r="D2528">
        <v>2.4</v>
      </c>
      <c r="E2528" s="4">
        <v>2.15</v>
      </c>
    </row>
    <row r="2529" spans="1:5" x14ac:dyDescent="0.35">
      <c r="A2529" s="1">
        <v>45993</v>
      </c>
      <c r="B2529" s="2">
        <v>45993</v>
      </c>
      <c r="C2529">
        <v>2</v>
      </c>
      <c r="D2529">
        <v>2.4</v>
      </c>
      <c r="E2529" s="4">
        <v>2.15</v>
      </c>
    </row>
    <row r="2530" spans="1:5" x14ac:dyDescent="0.35">
      <c r="A2530" s="1">
        <v>45994</v>
      </c>
      <c r="B2530" s="2">
        <v>45994</v>
      </c>
      <c r="C2530">
        <v>2</v>
      </c>
      <c r="D2530">
        <v>2.4</v>
      </c>
      <c r="E2530" s="4">
        <v>2.15</v>
      </c>
    </row>
    <row r="2531" spans="1:5" x14ac:dyDescent="0.35">
      <c r="A2531" s="1">
        <v>45995</v>
      </c>
      <c r="B2531" s="2">
        <v>45995</v>
      </c>
      <c r="C2531">
        <v>2</v>
      </c>
      <c r="D2531">
        <v>2.4</v>
      </c>
      <c r="E2531" s="4">
        <v>2.15</v>
      </c>
    </row>
    <row r="2532" spans="1:5" x14ac:dyDescent="0.35">
      <c r="A2532" s="1">
        <v>45996</v>
      </c>
      <c r="B2532" s="2">
        <v>45996</v>
      </c>
      <c r="C2532">
        <v>2</v>
      </c>
      <c r="D2532">
        <v>2.4</v>
      </c>
      <c r="E2532" s="4">
        <v>2.15</v>
      </c>
    </row>
    <row r="2533" spans="1:5" x14ac:dyDescent="0.35">
      <c r="A2533" s="1">
        <v>45997</v>
      </c>
      <c r="B2533" s="2">
        <v>45997</v>
      </c>
      <c r="C2533">
        <v>2</v>
      </c>
      <c r="D2533">
        <v>2.4</v>
      </c>
      <c r="E2533" s="4">
        <v>2.15</v>
      </c>
    </row>
    <row r="2534" spans="1:5" x14ac:dyDescent="0.35">
      <c r="A2534" s="1">
        <v>45998</v>
      </c>
      <c r="B2534" s="2">
        <v>45998</v>
      </c>
      <c r="C2534">
        <v>2</v>
      </c>
      <c r="D2534">
        <v>2.4</v>
      </c>
      <c r="E2534" s="4">
        <v>2.15</v>
      </c>
    </row>
    <row r="2535" spans="1:5" x14ac:dyDescent="0.35">
      <c r="A2535" s="1">
        <v>45999</v>
      </c>
      <c r="B2535" s="2">
        <v>45999</v>
      </c>
      <c r="C2535">
        <v>2</v>
      </c>
      <c r="D2535">
        <v>2.4</v>
      </c>
      <c r="E2535" s="4">
        <v>2.15</v>
      </c>
    </row>
    <row r="2536" spans="1:5" x14ac:dyDescent="0.35">
      <c r="A2536" s="1">
        <v>46000</v>
      </c>
      <c r="B2536" s="2">
        <v>46000</v>
      </c>
      <c r="C2536">
        <v>2</v>
      </c>
      <c r="D2536">
        <v>2.4</v>
      </c>
      <c r="E2536" s="4">
        <v>2.15</v>
      </c>
    </row>
    <row r="2537" spans="1:5" x14ac:dyDescent="0.35">
      <c r="A2537" s="1">
        <v>46001</v>
      </c>
      <c r="B2537" s="2">
        <v>46001</v>
      </c>
      <c r="C2537">
        <v>2</v>
      </c>
      <c r="D2537">
        <v>2.4</v>
      </c>
      <c r="E2537" s="4">
        <v>2.15</v>
      </c>
    </row>
    <row r="2538" spans="1:5" x14ac:dyDescent="0.35">
      <c r="A2538" s="1">
        <v>46002</v>
      </c>
      <c r="B2538" s="2">
        <v>46002</v>
      </c>
      <c r="C2538">
        <v>2</v>
      </c>
      <c r="D2538">
        <v>2.4</v>
      </c>
      <c r="E2538" s="4">
        <v>2.15</v>
      </c>
    </row>
    <row r="2539" spans="1:5" x14ac:dyDescent="0.35">
      <c r="A2539" s="1">
        <v>46003</v>
      </c>
      <c r="B2539" s="2">
        <v>46003</v>
      </c>
      <c r="C2539">
        <v>2</v>
      </c>
      <c r="D2539">
        <v>2.4</v>
      </c>
      <c r="E2539" s="4">
        <v>2.15</v>
      </c>
    </row>
    <row r="2540" spans="1:5" x14ac:dyDescent="0.35">
      <c r="A2540" s="1">
        <v>46004</v>
      </c>
      <c r="B2540" s="2">
        <v>46004</v>
      </c>
      <c r="C2540">
        <v>2</v>
      </c>
      <c r="D2540">
        <v>2.4</v>
      </c>
      <c r="E2540" s="4">
        <v>2.15</v>
      </c>
    </row>
    <row r="2541" spans="1:5" x14ac:dyDescent="0.35">
      <c r="A2541" s="1">
        <v>46005</v>
      </c>
      <c r="B2541" s="2">
        <v>46005</v>
      </c>
      <c r="C2541">
        <v>2</v>
      </c>
      <c r="D2541">
        <v>2.4</v>
      </c>
      <c r="E2541" s="4">
        <v>2.15</v>
      </c>
    </row>
    <row r="2542" spans="1:5" x14ac:dyDescent="0.35">
      <c r="A2542" s="1">
        <v>46006</v>
      </c>
      <c r="B2542" s="2">
        <v>46006</v>
      </c>
      <c r="C2542">
        <v>2</v>
      </c>
      <c r="D2542">
        <v>2.4</v>
      </c>
      <c r="E2542" s="4">
        <v>2.15</v>
      </c>
    </row>
    <row r="2543" spans="1:5" x14ac:dyDescent="0.35">
      <c r="A2543" s="1">
        <v>46007</v>
      </c>
      <c r="B2543" s="2">
        <v>46007</v>
      </c>
      <c r="C2543">
        <v>2</v>
      </c>
      <c r="D2543">
        <v>2.4</v>
      </c>
      <c r="E2543" s="4">
        <v>2.15</v>
      </c>
    </row>
    <row r="2544" spans="1:5" x14ac:dyDescent="0.35">
      <c r="A2544" s="1">
        <v>46008</v>
      </c>
      <c r="B2544" s="2">
        <v>46008</v>
      </c>
      <c r="C2544">
        <v>2</v>
      </c>
      <c r="D2544">
        <v>2.4</v>
      </c>
      <c r="E2544" s="4">
        <v>2.15</v>
      </c>
    </row>
    <row r="2545" spans="1:5" x14ac:dyDescent="0.35">
      <c r="A2545" s="1">
        <v>46009</v>
      </c>
      <c r="B2545" s="2">
        <v>46009</v>
      </c>
      <c r="C2545">
        <v>2</v>
      </c>
      <c r="D2545">
        <v>2.4</v>
      </c>
      <c r="E2545" s="4">
        <v>2.15</v>
      </c>
    </row>
    <row r="2546" spans="1:5" x14ac:dyDescent="0.35">
      <c r="A2546" s="1">
        <v>46010</v>
      </c>
      <c r="B2546" s="2">
        <v>46010</v>
      </c>
      <c r="C2546">
        <v>2</v>
      </c>
      <c r="D2546">
        <v>2.4</v>
      </c>
      <c r="E2546" s="4">
        <v>2.15</v>
      </c>
    </row>
    <row r="2547" spans="1:5" x14ac:dyDescent="0.35">
      <c r="A2547" s="1">
        <v>46011</v>
      </c>
      <c r="B2547" s="2">
        <v>46011</v>
      </c>
      <c r="C2547">
        <v>2</v>
      </c>
      <c r="D2547">
        <v>2.4</v>
      </c>
      <c r="E2547" s="4">
        <v>2.15</v>
      </c>
    </row>
    <row r="2548" spans="1:5" x14ac:dyDescent="0.35">
      <c r="A2548" s="1">
        <v>46012</v>
      </c>
      <c r="B2548" s="2">
        <v>46012</v>
      </c>
      <c r="C2548">
        <v>2</v>
      </c>
      <c r="D2548">
        <v>2.4</v>
      </c>
      <c r="E2548" s="4">
        <v>2.15</v>
      </c>
    </row>
    <row r="2549" spans="1:5" x14ac:dyDescent="0.35">
      <c r="A2549" s="1">
        <v>46013</v>
      </c>
      <c r="B2549" s="2">
        <v>46013</v>
      </c>
      <c r="C2549">
        <v>2</v>
      </c>
      <c r="D2549">
        <v>2.4</v>
      </c>
      <c r="E2549" s="4">
        <v>2.15</v>
      </c>
    </row>
    <row r="2550" spans="1:5" x14ac:dyDescent="0.35">
      <c r="A2550" s="1">
        <v>46014</v>
      </c>
      <c r="B2550" s="2">
        <v>46014</v>
      </c>
      <c r="C2550">
        <v>2</v>
      </c>
      <c r="D2550">
        <v>2.4</v>
      </c>
      <c r="E2550" s="4">
        <v>2.15</v>
      </c>
    </row>
    <row r="2551" spans="1:5" x14ac:dyDescent="0.35">
      <c r="A2551" s="1">
        <v>46015</v>
      </c>
      <c r="B2551" s="2">
        <v>46015</v>
      </c>
      <c r="C2551">
        <v>2</v>
      </c>
      <c r="D2551">
        <v>2.4</v>
      </c>
      <c r="E2551" s="4">
        <v>2.15</v>
      </c>
    </row>
    <row r="2552" spans="1:5" x14ac:dyDescent="0.35">
      <c r="A2552" s="1">
        <v>46016</v>
      </c>
      <c r="B2552" s="2">
        <v>46016</v>
      </c>
      <c r="C2552">
        <v>2</v>
      </c>
      <c r="D2552">
        <v>2.4</v>
      </c>
      <c r="E2552" s="4">
        <v>2.15</v>
      </c>
    </row>
    <row r="2553" spans="1:5" x14ac:dyDescent="0.35">
      <c r="A2553" s="1">
        <v>46017</v>
      </c>
      <c r="B2553" s="2">
        <v>46017</v>
      </c>
      <c r="C2553">
        <v>2</v>
      </c>
      <c r="D2553">
        <v>2.4</v>
      </c>
      <c r="E2553" s="4">
        <v>2.15</v>
      </c>
    </row>
    <row r="2554" spans="1:5" x14ac:dyDescent="0.35">
      <c r="A2554" s="1">
        <v>46018</v>
      </c>
      <c r="B2554" s="2">
        <v>46018</v>
      </c>
      <c r="C2554">
        <v>2</v>
      </c>
      <c r="D2554">
        <v>2.4</v>
      </c>
      <c r="E2554" s="4">
        <v>2.15</v>
      </c>
    </row>
    <row r="2555" spans="1:5" x14ac:dyDescent="0.35">
      <c r="A2555" s="1">
        <v>46019</v>
      </c>
      <c r="B2555" s="2">
        <v>46019</v>
      </c>
      <c r="C2555">
        <v>2</v>
      </c>
      <c r="D2555">
        <v>2.4</v>
      </c>
      <c r="E2555" s="4">
        <v>2.15</v>
      </c>
    </row>
    <row r="2556" spans="1:5" x14ac:dyDescent="0.35">
      <c r="A2556" s="1">
        <v>46020</v>
      </c>
      <c r="B2556" s="2">
        <v>46020</v>
      </c>
      <c r="C2556">
        <v>2</v>
      </c>
      <c r="D2556">
        <v>2.4</v>
      </c>
      <c r="E2556" s="4">
        <v>2.15</v>
      </c>
    </row>
    <row r="2557" spans="1:5" x14ac:dyDescent="0.35">
      <c r="A2557" s="1">
        <v>46021</v>
      </c>
      <c r="B2557" s="2">
        <v>46021</v>
      </c>
      <c r="C2557">
        <v>2</v>
      </c>
      <c r="D2557">
        <v>2.4</v>
      </c>
      <c r="E2557" s="4">
        <v>2.15</v>
      </c>
    </row>
    <row r="2558" spans="1:5" x14ac:dyDescent="0.35">
      <c r="A2558" s="1">
        <v>46022</v>
      </c>
      <c r="B2558" s="2">
        <v>46022</v>
      </c>
      <c r="C2558">
        <v>2</v>
      </c>
      <c r="D2558">
        <v>2.4</v>
      </c>
      <c r="E2558" s="4">
        <v>2.15</v>
      </c>
    </row>
    <row r="2559" spans="1:5" x14ac:dyDescent="0.35">
      <c r="A2559" s="1">
        <v>46023</v>
      </c>
      <c r="B2559" s="2">
        <v>46023</v>
      </c>
      <c r="C2559">
        <v>2</v>
      </c>
      <c r="D2559">
        <v>2.4</v>
      </c>
      <c r="E2559" s="4">
        <v>2.15</v>
      </c>
    </row>
    <row r="2560" spans="1:5" x14ac:dyDescent="0.35">
      <c r="A2560" s="1">
        <v>46024</v>
      </c>
      <c r="B2560" s="2">
        <v>46024</v>
      </c>
      <c r="C2560">
        <v>2</v>
      </c>
      <c r="D2560">
        <v>2.4</v>
      </c>
      <c r="E2560" s="4">
        <v>2.15</v>
      </c>
    </row>
    <row r="2561" spans="1:5" x14ac:dyDescent="0.35">
      <c r="A2561" s="1">
        <v>46025</v>
      </c>
      <c r="B2561" s="2">
        <v>46025</v>
      </c>
      <c r="C2561">
        <v>2</v>
      </c>
      <c r="D2561">
        <v>2.4</v>
      </c>
      <c r="E2561" s="4">
        <v>2.15</v>
      </c>
    </row>
    <row r="2562" spans="1:5" x14ac:dyDescent="0.35">
      <c r="A2562" s="1">
        <v>46026</v>
      </c>
      <c r="B2562" s="2">
        <v>46026</v>
      </c>
      <c r="C2562">
        <v>2</v>
      </c>
      <c r="D2562">
        <v>2.4</v>
      </c>
      <c r="E2562" s="4">
        <v>2.15</v>
      </c>
    </row>
    <row r="2563" spans="1:5" x14ac:dyDescent="0.35">
      <c r="A2563" s="1">
        <v>46027</v>
      </c>
      <c r="B2563" s="2">
        <v>46027</v>
      </c>
      <c r="C2563">
        <v>2</v>
      </c>
      <c r="D2563">
        <v>2.4</v>
      </c>
      <c r="E2563" s="4">
        <v>2.15</v>
      </c>
    </row>
    <row r="2564" spans="1:5" x14ac:dyDescent="0.35">
      <c r="A2564" s="1">
        <v>46028</v>
      </c>
      <c r="B2564" s="2">
        <v>46028</v>
      </c>
      <c r="C2564">
        <v>2</v>
      </c>
      <c r="D2564">
        <v>2.4</v>
      </c>
      <c r="E2564" s="4">
        <v>2.15</v>
      </c>
    </row>
    <row r="2565" spans="1:5" x14ac:dyDescent="0.35">
      <c r="A2565" s="1">
        <v>46029</v>
      </c>
      <c r="B2565" s="2">
        <v>46029</v>
      </c>
      <c r="C2565">
        <v>2</v>
      </c>
      <c r="D2565">
        <v>2.4</v>
      </c>
      <c r="E2565" s="4">
        <v>2.15</v>
      </c>
    </row>
    <row r="2566" spans="1:5" x14ac:dyDescent="0.35">
      <c r="A2566" s="1">
        <v>46030</v>
      </c>
      <c r="B2566" s="2">
        <v>46030</v>
      </c>
      <c r="C2566">
        <v>2</v>
      </c>
      <c r="D2566">
        <v>2.4</v>
      </c>
      <c r="E2566" s="4">
        <v>2.15</v>
      </c>
    </row>
    <row r="2567" spans="1:5" x14ac:dyDescent="0.35">
      <c r="A2567" s="1">
        <v>46031</v>
      </c>
      <c r="B2567" s="2">
        <v>46031</v>
      </c>
      <c r="C2567">
        <v>2</v>
      </c>
      <c r="D2567">
        <v>2.4</v>
      </c>
      <c r="E2567" s="4">
        <v>2.15</v>
      </c>
    </row>
    <row r="2568" spans="1:5" x14ac:dyDescent="0.35">
      <c r="A2568" s="1">
        <v>46032</v>
      </c>
      <c r="B2568" s="2">
        <v>46032</v>
      </c>
      <c r="C2568">
        <v>2</v>
      </c>
      <c r="D2568">
        <v>2.4</v>
      </c>
      <c r="E2568" s="4">
        <v>2.15</v>
      </c>
    </row>
    <row r="2569" spans="1:5" x14ac:dyDescent="0.35">
      <c r="A2569" s="1">
        <v>46033</v>
      </c>
      <c r="B2569" s="2">
        <v>46033</v>
      </c>
      <c r="C2569">
        <v>2</v>
      </c>
      <c r="D2569">
        <v>2.4</v>
      </c>
      <c r="E2569" s="4">
        <v>2.15</v>
      </c>
    </row>
    <row r="2570" spans="1:5" x14ac:dyDescent="0.35">
      <c r="A2570" s="1">
        <v>46034</v>
      </c>
      <c r="B2570" s="2">
        <v>46034</v>
      </c>
      <c r="C2570">
        <v>2</v>
      </c>
      <c r="D2570">
        <v>2.4</v>
      </c>
      <c r="E2570" s="4">
        <v>2.15</v>
      </c>
    </row>
    <row r="2571" spans="1:5" x14ac:dyDescent="0.35">
      <c r="A2571" s="1">
        <v>46035</v>
      </c>
      <c r="B2571" s="2">
        <v>46035</v>
      </c>
      <c r="C2571">
        <v>2</v>
      </c>
      <c r="D2571">
        <v>2.4</v>
      </c>
      <c r="E2571" s="4">
        <v>2.15</v>
      </c>
    </row>
    <row r="2572" spans="1:5" x14ac:dyDescent="0.35">
      <c r="A2572" s="1">
        <v>46036</v>
      </c>
      <c r="B2572" s="2">
        <v>46036</v>
      </c>
      <c r="C2572">
        <v>2</v>
      </c>
      <c r="D2572">
        <v>2.4</v>
      </c>
      <c r="E2572" s="4">
        <v>2.15</v>
      </c>
    </row>
    <row r="2573" spans="1:5" x14ac:dyDescent="0.35">
      <c r="A2573" s="1">
        <v>46037</v>
      </c>
      <c r="B2573" s="2">
        <v>46037</v>
      </c>
      <c r="C2573">
        <v>2</v>
      </c>
      <c r="D2573">
        <v>2.4</v>
      </c>
      <c r="E2573" s="4">
        <v>2.15</v>
      </c>
    </row>
    <row r="2574" spans="1:5" x14ac:dyDescent="0.35">
      <c r="A2574" s="1">
        <v>46038</v>
      </c>
      <c r="B2574" s="2">
        <v>46038</v>
      </c>
      <c r="C2574">
        <v>2</v>
      </c>
      <c r="D2574">
        <v>2.4</v>
      </c>
      <c r="E2574" s="4">
        <v>2.15</v>
      </c>
    </row>
    <row r="2575" spans="1:5" x14ac:dyDescent="0.35">
      <c r="A2575" s="1">
        <v>46039</v>
      </c>
      <c r="B2575" s="2">
        <v>46039</v>
      </c>
      <c r="C2575">
        <v>2</v>
      </c>
      <c r="D2575">
        <v>2.4</v>
      </c>
      <c r="E2575" s="4">
        <v>2.15</v>
      </c>
    </row>
    <row r="2576" spans="1:5" x14ac:dyDescent="0.35">
      <c r="A2576" s="1">
        <v>46040</v>
      </c>
      <c r="B2576" s="2">
        <v>46040</v>
      </c>
      <c r="C2576">
        <v>2</v>
      </c>
      <c r="D2576">
        <v>2.4</v>
      </c>
      <c r="E2576" s="4">
        <v>2.15</v>
      </c>
    </row>
    <row r="2577" spans="1:5" x14ac:dyDescent="0.35">
      <c r="A2577" s="1">
        <v>46041</v>
      </c>
      <c r="B2577" s="2">
        <v>46041</v>
      </c>
      <c r="C2577">
        <v>2</v>
      </c>
      <c r="D2577">
        <v>2.4</v>
      </c>
      <c r="E2577" s="4">
        <v>2.15</v>
      </c>
    </row>
    <row r="2578" spans="1:5" x14ac:dyDescent="0.35">
      <c r="A2578" s="1">
        <v>46042</v>
      </c>
      <c r="B2578" s="2">
        <v>46042</v>
      </c>
      <c r="C2578">
        <v>2</v>
      </c>
      <c r="D2578">
        <v>2.4</v>
      </c>
      <c r="E2578" s="4">
        <v>2.15</v>
      </c>
    </row>
    <row r="2579" spans="1:5" x14ac:dyDescent="0.35">
      <c r="A2579" s="1">
        <v>46043</v>
      </c>
      <c r="B2579" s="2">
        <v>46043</v>
      </c>
      <c r="C2579">
        <v>2</v>
      </c>
      <c r="D2579">
        <v>2.4</v>
      </c>
      <c r="E2579" s="4">
        <v>2.15</v>
      </c>
    </row>
    <row r="2580" spans="1:5" x14ac:dyDescent="0.35">
      <c r="A2580" s="1">
        <v>46044</v>
      </c>
      <c r="B2580" s="2">
        <v>46044</v>
      </c>
      <c r="C2580">
        <v>2</v>
      </c>
      <c r="D2580">
        <v>2.4</v>
      </c>
      <c r="E2580" s="4">
        <v>2.15</v>
      </c>
    </row>
    <row r="2581" spans="1:5" x14ac:dyDescent="0.35">
      <c r="A2581" s="1">
        <v>46045</v>
      </c>
      <c r="B2581" s="2">
        <v>46045</v>
      </c>
      <c r="C2581">
        <v>2</v>
      </c>
      <c r="D2581">
        <v>2.4</v>
      </c>
      <c r="E2581" s="4">
        <v>2.15</v>
      </c>
    </row>
    <row r="2582" spans="1:5" x14ac:dyDescent="0.35">
      <c r="A2582" s="1">
        <v>46046</v>
      </c>
      <c r="B2582" s="2">
        <v>46046</v>
      </c>
      <c r="C2582">
        <v>2</v>
      </c>
      <c r="D2582">
        <v>2.4</v>
      </c>
      <c r="E2582" s="4">
        <v>2.15</v>
      </c>
    </row>
    <row r="2583" spans="1:5" x14ac:dyDescent="0.35">
      <c r="A2583" s="1">
        <v>46047</v>
      </c>
      <c r="B2583" s="2">
        <v>46047</v>
      </c>
      <c r="C2583">
        <v>2</v>
      </c>
      <c r="D2583">
        <v>2.4</v>
      </c>
      <c r="E2583" s="4">
        <v>2.15</v>
      </c>
    </row>
    <row r="2584" spans="1:5" x14ac:dyDescent="0.35">
      <c r="A2584" s="1">
        <v>46048</v>
      </c>
      <c r="B2584" s="2">
        <v>46048</v>
      </c>
      <c r="C2584">
        <v>2</v>
      </c>
      <c r="D2584">
        <v>2.4</v>
      </c>
      <c r="E2584" s="4">
        <v>2.15</v>
      </c>
    </row>
    <row r="2585" spans="1:5" x14ac:dyDescent="0.35">
      <c r="A2585" s="1">
        <v>46049</v>
      </c>
      <c r="B2585" s="2">
        <v>46049</v>
      </c>
      <c r="C2585">
        <v>2</v>
      </c>
      <c r="D2585">
        <v>2.4</v>
      </c>
      <c r="E2585" s="4">
        <v>2.15</v>
      </c>
    </row>
    <row r="2586" spans="1:5" x14ac:dyDescent="0.35">
      <c r="A2586" s="1">
        <v>46050</v>
      </c>
      <c r="B2586" s="2">
        <v>46050</v>
      </c>
      <c r="C2586">
        <v>2</v>
      </c>
      <c r="D2586">
        <v>2.4</v>
      </c>
      <c r="E2586" s="4">
        <v>2.15</v>
      </c>
    </row>
    <row r="2587" spans="1:5" x14ac:dyDescent="0.35">
      <c r="A2587" s="1">
        <v>46051</v>
      </c>
      <c r="B2587" s="2">
        <v>46051</v>
      </c>
      <c r="C2587">
        <v>2</v>
      </c>
      <c r="D2587">
        <v>2.4</v>
      </c>
      <c r="E2587" s="4">
        <v>2.15</v>
      </c>
    </row>
    <row r="2588" spans="1:5" x14ac:dyDescent="0.35">
      <c r="A2588" s="1">
        <v>46052</v>
      </c>
      <c r="B2588" s="2">
        <v>46052</v>
      </c>
      <c r="C2588">
        <v>2</v>
      </c>
      <c r="D2588">
        <v>2.4</v>
      </c>
      <c r="E2588" s="4">
        <v>2.15</v>
      </c>
    </row>
    <row r="2589" spans="1:5" x14ac:dyDescent="0.35">
      <c r="A2589" s="1">
        <v>46053</v>
      </c>
      <c r="B2589" s="2">
        <v>46053</v>
      </c>
      <c r="C2589">
        <v>2</v>
      </c>
      <c r="D2589">
        <v>2.4</v>
      </c>
      <c r="E2589" s="4">
        <v>2.15</v>
      </c>
    </row>
    <row r="2590" spans="1:5" x14ac:dyDescent="0.35">
      <c r="A2590" s="1">
        <v>46054</v>
      </c>
      <c r="B2590" s="2">
        <v>46054</v>
      </c>
      <c r="C2590">
        <v>2</v>
      </c>
      <c r="D2590">
        <v>2.4</v>
      </c>
      <c r="E2590" s="4">
        <v>2.15</v>
      </c>
    </row>
    <row r="2591" spans="1:5" x14ac:dyDescent="0.35">
      <c r="A2591" s="1">
        <v>46055</v>
      </c>
      <c r="B2591" s="2">
        <v>46055</v>
      </c>
      <c r="C2591">
        <v>2</v>
      </c>
      <c r="D2591">
        <v>2.4</v>
      </c>
      <c r="E2591" s="4">
        <v>2.15</v>
      </c>
    </row>
    <row r="2592" spans="1:5" x14ac:dyDescent="0.35">
      <c r="A2592" s="1">
        <v>46056</v>
      </c>
      <c r="B2592" s="2">
        <v>46056</v>
      </c>
      <c r="C2592">
        <v>2</v>
      </c>
      <c r="D2592">
        <v>2.4</v>
      </c>
      <c r="E2592" s="4">
        <v>2.15</v>
      </c>
    </row>
    <row r="2593" spans="1:5" x14ac:dyDescent="0.35">
      <c r="A2593" s="1">
        <v>46057</v>
      </c>
      <c r="B2593" s="2">
        <v>46057</v>
      </c>
      <c r="C2593">
        <v>2</v>
      </c>
      <c r="D2593">
        <v>2.4</v>
      </c>
      <c r="E2593" s="4">
        <v>2.15</v>
      </c>
    </row>
    <row r="2594" spans="1:5" x14ac:dyDescent="0.35">
      <c r="A2594" s="1">
        <v>46058</v>
      </c>
      <c r="B2594" s="2">
        <v>46058</v>
      </c>
      <c r="C2594">
        <v>2</v>
      </c>
      <c r="D2594">
        <v>2.4</v>
      </c>
      <c r="E2594" s="4">
        <v>2.15</v>
      </c>
    </row>
    <row r="2595" spans="1:5" x14ac:dyDescent="0.35">
      <c r="A2595" s="1">
        <v>46059</v>
      </c>
      <c r="B2595" s="2">
        <v>46059</v>
      </c>
      <c r="C2595">
        <v>2</v>
      </c>
      <c r="D2595">
        <v>2.4</v>
      </c>
      <c r="E2595" s="4">
        <v>2.15</v>
      </c>
    </row>
    <row r="2596" spans="1:5" x14ac:dyDescent="0.35">
      <c r="A2596" s="1">
        <v>46060</v>
      </c>
      <c r="B2596" s="2">
        <v>46060</v>
      </c>
      <c r="C2596">
        <v>2</v>
      </c>
      <c r="D2596">
        <v>2.4</v>
      </c>
      <c r="E2596" s="4">
        <v>2.15</v>
      </c>
    </row>
    <row r="2597" spans="1:5" x14ac:dyDescent="0.35">
      <c r="A2597" s="1">
        <v>46061</v>
      </c>
      <c r="B2597" s="2">
        <v>46061</v>
      </c>
      <c r="C2597">
        <v>2</v>
      </c>
      <c r="D2597">
        <v>2.4</v>
      </c>
      <c r="E2597" s="4">
        <v>2.15</v>
      </c>
    </row>
    <row r="2598" spans="1:5" x14ac:dyDescent="0.35">
      <c r="A2598" s="1">
        <v>46062</v>
      </c>
      <c r="B2598" s="2">
        <v>46062</v>
      </c>
      <c r="C2598">
        <v>2</v>
      </c>
      <c r="D2598">
        <v>2.4</v>
      </c>
      <c r="E2598" s="4">
        <v>2.15</v>
      </c>
    </row>
    <row r="2599" spans="1:5" x14ac:dyDescent="0.35">
      <c r="A2599" s="1">
        <v>46063</v>
      </c>
      <c r="B2599" s="2">
        <v>46063</v>
      </c>
      <c r="C2599">
        <v>2</v>
      </c>
      <c r="D2599">
        <v>2.4</v>
      </c>
      <c r="E2599" s="4">
        <v>2.15</v>
      </c>
    </row>
    <row r="2600" spans="1:5" x14ac:dyDescent="0.35">
      <c r="A2600" s="1">
        <v>46064</v>
      </c>
      <c r="B2600" s="2">
        <v>46064</v>
      </c>
      <c r="C2600">
        <v>2</v>
      </c>
      <c r="D2600">
        <v>2.4</v>
      </c>
      <c r="E2600" s="4">
        <v>2.15</v>
      </c>
    </row>
    <row r="2601" spans="1:5" x14ac:dyDescent="0.35">
      <c r="A2601" s="1">
        <v>46065</v>
      </c>
      <c r="B2601" s="2">
        <v>46065</v>
      </c>
      <c r="C2601">
        <v>2</v>
      </c>
      <c r="D2601">
        <v>2.4</v>
      </c>
      <c r="E2601" s="4">
        <v>2.15</v>
      </c>
    </row>
    <row r="2602" spans="1:5" x14ac:dyDescent="0.35">
      <c r="A2602" s="1">
        <v>46066</v>
      </c>
      <c r="B2602" s="2">
        <v>46066</v>
      </c>
      <c r="C2602">
        <v>2</v>
      </c>
      <c r="D2602">
        <v>2.4</v>
      </c>
      <c r="E2602" s="4">
        <v>2.15</v>
      </c>
    </row>
    <row r="2603" spans="1:5" x14ac:dyDescent="0.35">
      <c r="A2603" s="1">
        <v>46067</v>
      </c>
      <c r="B2603" s="2">
        <v>46067</v>
      </c>
      <c r="C2603">
        <v>2</v>
      </c>
      <c r="D2603">
        <v>2.4</v>
      </c>
      <c r="E2603" s="4">
        <v>2.15</v>
      </c>
    </row>
    <row r="2604" spans="1:5" x14ac:dyDescent="0.35">
      <c r="A2604" s="1">
        <v>46068</v>
      </c>
      <c r="B2604" s="2">
        <v>46068</v>
      </c>
      <c r="C2604">
        <v>2</v>
      </c>
      <c r="D2604">
        <v>2.4</v>
      </c>
      <c r="E2604" s="4">
        <v>2.15</v>
      </c>
    </row>
    <row r="2605" spans="1:5" x14ac:dyDescent="0.35">
      <c r="A2605" s="1">
        <v>46069</v>
      </c>
      <c r="B2605" s="2">
        <v>46069</v>
      </c>
      <c r="C2605">
        <v>2</v>
      </c>
      <c r="D2605">
        <v>2.4</v>
      </c>
      <c r="E2605" s="4">
        <v>2.15</v>
      </c>
    </row>
    <row r="2606" spans="1:5" x14ac:dyDescent="0.35">
      <c r="A2606" s="1">
        <v>46070</v>
      </c>
      <c r="B2606" s="2">
        <v>46070</v>
      </c>
      <c r="C2606">
        <v>2</v>
      </c>
      <c r="D2606">
        <v>2.4</v>
      </c>
      <c r="E2606" s="4">
        <v>2.15</v>
      </c>
    </row>
    <row r="2607" spans="1:5" x14ac:dyDescent="0.35">
      <c r="A2607" s="1">
        <v>46071</v>
      </c>
      <c r="B2607" s="2">
        <v>46071</v>
      </c>
      <c r="C2607">
        <v>2</v>
      </c>
      <c r="D2607">
        <v>2.4</v>
      </c>
      <c r="E2607" s="4">
        <v>2.15</v>
      </c>
    </row>
    <row r="2608" spans="1:5" x14ac:dyDescent="0.35">
      <c r="A2608" s="1">
        <v>46072</v>
      </c>
      <c r="B2608" s="2">
        <v>46072</v>
      </c>
      <c r="C2608">
        <v>2</v>
      </c>
      <c r="D2608">
        <v>2.4</v>
      </c>
      <c r="E2608" s="4">
        <v>2.15</v>
      </c>
    </row>
    <row r="2609" spans="1:5" x14ac:dyDescent="0.35">
      <c r="A2609" s="1">
        <v>46073</v>
      </c>
      <c r="B2609" s="2">
        <v>46073</v>
      </c>
      <c r="C2609">
        <v>2</v>
      </c>
      <c r="D2609">
        <v>2.4</v>
      </c>
      <c r="E2609" s="4">
        <v>2.15</v>
      </c>
    </row>
    <row r="2610" spans="1:5" x14ac:dyDescent="0.35">
      <c r="A2610" s="1">
        <v>46074</v>
      </c>
      <c r="B2610" s="2">
        <v>46074</v>
      </c>
      <c r="C2610">
        <v>2</v>
      </c>
      <c r="D2610">
        <v>2.4</v>
      </c>
      <c r="E2610" s="4">
        <v>2.15</v>
      </c>
    </row>
    <row r="2611" spans="1:5" x14ac:dyDescent="0.35">
      <c r="A2611" s="1">
        <v>46075</v>
      </c>
      <c r="B2611" s="2">
        <v>46075</v>
      </c>
      <c r="C2611">
        <v>2</v>
      </c>
      <c r="D2611">
        <v>2.4</v>
      </c>
      <c r="E2611" s="4">
        <v>2.15</v>
      </c>
    </row>
    <row r="2612" spans="1:5" x14ac:dyDescent="0.35">
      <c r="A2612" s="1">
        <v>46076</v>
      </c>
      <c r="B2612" s="2">
        <v>46076</v>
      </c>
      <c r="C2612">
        <v>2</v>
      </c>
      <c r="D2612">
        <v>2.4</v>
      </c>
      <c r="E2612" s="4">
        <v>2.15</v>
      </c>
    </row>
    <row r="2613" spans="1:5" x14ac:dyDescent="0.35">
      <c r="A2613" s="1">
        <v>46077</v>
      </c>
      <c r="B2613" s="2">
        <v>46077</v>
      </c>
      <c r="C2613">
        <v>2</v>
      </c>
      <c r="D2613">
        <v>2.4</v>
      </c>
      <c r="E2613" s="4">
        <v>2.15</v>
      </c>
    </row>
    <row r="2614" spans="1:5" x14ac:dyDescent="0.35">
      <c r="A2614" s="1">
        <v>46078</v>
      </c>
      <c r="B2614" s="2">
        <v>46078</v>
      </c>
      <c r="C2614">
        <v>2</v>
      </c>
      <c r="D2614">
        <v>2.4</v>
      </c>
      <c r="E2614" s="4">
        <v>2.15</v>
      </c>
    </row>
    <row r="2615" spans="1:5" x14ac:dyDescent="0.35">
      <c r="A2615" s="1">
        <v>46079</v>
      </c>
      <c r="B2615" s="2">
        <v>46079</v>
      </c>
      <c r="C2615">
        <v>2</v>
      </c>
      <c r="D2615">
        <v>2.4</v>
      </c>
      <c r="E2615" s="4">
        <v>2.15</v>
      </c>
    </row>
    <row r="2616" spans="1:5" x14ac:dyDescent="0.35">
      <c r="A2616" s="1">
        <v>46080</v>
      </c>
      <c r="B2616" s="2">
        <v>46080</v>
      </c>
      <c r="C2616">
        <v>2</v>
      </c>
      <c r="D2616">
        <v>2.4</v>
      </c>
      <c r="E2616" s="4">
        <v>2.15</v>
      </c>
    </row>
    <row r="2617" spans="1:5" x14ac:dyDescent="0.35">
      <c r="A2617" s="1">
        <v>46081</v>
      </c>
      <c r="B2617" s="2">
        <v>46081</v>
      </c>
      <c r="C2617">
        <v>2</v>
      </c>
      <c r="D2617">
        <v>2.4</v>
      </c>
      <c r="E2617" s="4">
        <v>2.15</v>
      </c>
    </row>
    <row r="2618" spans="1:5" x14ac:dyDescent="0.35">
      <c r="A2618" s="1">
        <v>46082</v>
      </c>
      <c r="B2618" s="2">
        <v>46082</v>
      </c>
      <c r="C2618">
        <v>2</v>
      </c>
      <c r="D2618">
        <v>2.4</v>
      </c>
      <c r="E2618" s="4">
        <v>2.15</v>
      </c>
    </row>
    <row r="2619" spans="1:5" x14ac:dyDescent="0.35">
      <c r="A2619" s="1">
        <v>46083</v>
      </c>
      <c r="B2619" s="2">
        <v>46083</v>
      </c>
      <c r="C2619">
        <v>2</v>
      </c>
      <c r="D2619">
        <v>2.4</v>
      </c>
      <c r="E2619" s="4">
        <v>2.15</v>
      </c>
    </row>
    <row r="2620" spans="1:5" x14ac:dyDescent="0.35">
      <c r="A2620" s="1">
        <v>46084</v>
      </c>
      <c r="B2620" s="2">
        <v>46084</v>
      </c>
      <c r="C2620">
        <v>2</v>
      </c>
      <c r="D2620">
        <v>2.4</v>
      </c>
      <c r="E2620" s="4">
        <v>2.15</v>
      </c>
    </row>
    <row r="2621" spans="1:5" x14ac:dyDescent="0.35">
      <c r="A2621" s="1">
        <v>46085</v>
      </c>
      <c r="B2621" s="2">
        <v>46085</v>
      </c>
      <c r="C2621">
        <v>2</v>
      </c>
      <c r="D2621">
        <v>2.4</v>
      </c>
      <c r="E2621" s="4">
        <v>2.15</v>
      </c>
    </row>
    <row r="2622" spans="1:5" x14ac:dyDescent="0.35">
      <c r="A2622" s="1">
        <v>46086</v>
      </c>
      <c r="B2622" s="2">
        <v>46086</v>
      </c>
      <c r="C2622">
        <v>2</v>
      </c>
      <c r="D2622">
        <v>2.4</v>
      </c>
      <c r="E2622" s="4">
        <v>2.15</v>
      </c>
    </row>
    <row r="2623" spans="1:5" x14ac:dyDescent="0.35">
      <c r="A2623" s="1">
        <v>46087</v>
      </c>
      <c r="B2623" s="2">
        <v>46087</v>
      </c>
      <c r="C2623">
        <v>2</v>
      </c>
      <c r="D2623">
        <v>2.4</v>
      </c>
      <c r="E2623" s="4">
        <v>2.15</v>
      </c>
    </row>
    <row r="2624" spans="1:5" x14ac:dyDescent="0.35">
      <c r="A2624" s="1">
        <v>46088</v>
      </c>
      <c r="B2624" s="2">
        <v>46088</v>
      </c>
      <c r="C2624">
        <v>2</v>
      </c>
      <c r="D2624">
        <v>2.4</v>
      </c>
      <c r="E2624" s="4">
        <v>2.15</v>
      </c>
    </row>
    <row r="2625" spans="1:5" x14ac:dyDescent="0.35">
      <c r="A2625" s="1">
        <v>46089</v>
      </c>
      <c r="B2625" s="2">
        <v>46089</v>
      </c>
      <c r="C2625">
        <v>2</v>
      </c>
      <c r="D2625">
        <v>2.4</v>
      </c>
      <c r="E2625" s="4">
        <v>2.15</v>
      </c>
    </row>
    <row r="2626" spans="1:5" x14ac:dyDescent="0.35">
      <c r="A2626" s="1">
        <v>46090</v>
      </c>
      <c r="B2626" s="2">
        <v>46090</v>
      </c>
      <c r="C2626">
        <v>2</v>
      </c>
      <c r="D2626">
        <v>2.4</v>
      </c>
      <c r="E2626" s="4">
        <v>2.15</v>
      </c>
    </row>
    <row r="2627" spans="1:5" x14ac:dyDescent="0.35">
      <c r="A2627" s="1">
        <v>46091</v>
      </c>
      <c r="B2627" s="2">
        <v>46091</v>
      </c>
      <c r="C2627">
        <v>2</v>
      </c>
      <c r="D2627">
        <v>2.4</v>
      </c>
      <c r="E2627" s="4">
        <v>2.15</v>
      </c>
    </row>
    <row r="2628" spans="1:5" x14ac:dyDescent="0.35">
      <c r="A2628" s="1">
        <v>46092</v>
      </c>
      <c r="B2628" s="2">
        <v>46092</v>
      </c>
      <c r="C2628">
        <v>2</v>
      </c>
      <c r="D2628">
        <v>2.4</v>
      </c>
      <c r="E2628" s="4">
        <v>2.15</v>
      </c>
    </row>
    <row r="2629" spans="1:5" x14ac:dyDescent="0.35">
      <c r="A2629" s="1">
        <v>46093</v>
      </c>
      <c r="B2629" s="2">
        <v>46093</v>
      </c>
      <c r="C2629">
        <v>2</v>
      </c>
      <c r="D2629">
        <v>2.4</v>
      </c>
      <c r="E2629" s="4">
        <v>2.15</v>
      </c>
    </row>
    <row r="2630" spans="1:5" x14ac:dyDescent="0.35">
      <c r="A2630" s="1">
        <v>46094</v>
      </c>
      <c r="B2630" s="2">
        <v>46094</v>
      </c>
      <c r="C2630">
        <v>2</v>
      </c>
      <c r="D2630">
        <v>2.4</v>
      </c>
      <c r="E2630" s="4">
        <v>2.15</v>
      </c>
    </row>
    <row r="2631" spans="1:5" x14ac:dyDescent="0.35">
      <c r="A2631" s="1">
        <v>46095</v>
      </c>
      <c r="B2631" s="2">
        <v>46095</v>
      </c>
      <c r="C2631">
        <v>2</v>
      </c>
      <c r="D2631">
        <v>2.4</v>
      </c>
      <c r="E2631" s="4">
        <v>2.15</v>
      </c>
    </row>
    <row r="2632" spans="1:5" x14ac:dyDescent="0.35">
      <c r="A2632" s="1">
        <v>46096</v>
      </c>
      <c r="B2632" s="2">
        <v>46096</v>
      </c>
      <c r="C2632">
        <v>2</v>
      </c>
      <c r="D2632">
        <v>2.4</v>
      </c>
      <c r="E2632" s="4">
        <v>2.15</v>
      </c>
    </row>
    <row r="2633" spans="1:5" x14ac:dyDescent="0.35">
      <c r="A2633" s="1">
        <v>46097</v>
      </c>
      <c r="B2633" s="2">
        <v>46097</v>
      </c>
      <c r="C2633">
        <v>2</v>
      </c>
      <c r="D2633">
        <v>2.4</v>
      </c>
      <c r="E2633" s="4">
        <v>2.15</v>
      </c>
    </row>
    <row r="2634" spans="1:5" x14ac:dyDescent="0.35">
      <c r="A2634" s="1">
        <v>46098</v>
      </c>
      <c r="B2634" s="2">
        <v>46098</v>
      </c>
      <c r="C2634">
        <v>2</v>
      </c>
      <c r="D2634">
        <v>2.4</v>
      </c>
      <c r="E2634" s="4">
        <v>2.15</v>
      </c>
    </row>
    <row r="2635" spans="1:5" x14ac:dyDescent="0.35">
      <c r="A2635" s="1">
        <v>46099</v>
      </c>
      <c r="B2635" s="2">
        <v>46099</v>
      </c>
      <c r="C2635">
        <v>2</v>
      </c>
      <c r="D2635">
        <v>2.4</v>
      </c>
      <c r="E2635" s="4">
        <v>2.15</v>
      </c>
    </row>
    <row r="2636" spans="1:5" x14ac:dyDescent="0.35">
      <c r="A2636" s="1">
        <v>46100</v>
      </c>
      <c r="B2636" s="2">
        <v>46100</v>
      </c>
      <c r="C2636">
        <v>2</v>
      </c>
      <c r="D2636">
        <v>2.4</v>
      </c>
      <c r="E2636" s="4">
        <v>2.15</v>
      </c>
    </row>
    <row r="2637" spans="1:5" x14ac:dyDescent="0.35">
      <c r="A2637" s="1">
        <v>46101</v>
      </c>
      <c r="B2637" s="2">
        <v>46101</v>
      </c>
      <c r="C2637">
        <v>2</v>
      </c>
      <c r="D2637">
        <v>2.4</v>
      </c>
      <c r="E2637" s="4">
        <v>2.15</v>
      </c>
    </row>
    <row r="2638" spans="1:5" x14ac:dyDescent="0.35">
      <c r="A2638" s="1">
        <v>46102</v>
      </c>
      <c r="B2638" s="2">
        <v>46102</v>
      </c>
      <c r="C2638">
        <v>2</v>
      </c>
      <c r="D2638">
        <v>2.4</v>
      </c>
      <c r="E2638" s="4">
        <v>2.15</v>
      </c>
    </row>
    <row r="2639" spans="1:5" x14ac:dyDescent="0.35">
      <c r="A2639" s="1">
        <v>46103</v>
      </c>
      <c r="B2639" s="2">
        <v>46103</v>
      </c>
      <c r="C2639">
        <v>2</v>
      </c>
      <c r="D2639">
        <v>2.4</v>
      </c>
      <c r="E2639" s="4">
        <v>2.15</v>
      </c>
    </row>
    <row r="2640" spans="1:5" x14ac:dyDescent="0.35">
      <c r="A2640" s="1">
        <v>46104</v>
      </c>
      <c r="B2640" s="2">
        <v>46104</v>
      </c>
      <c r="C2640">
        <v>2</v>
      </c>
      <c r="D2640">
        <v>2.4</v>
      </c>
      <c r="E2640" s="4">
        <v>2.15</v>
      </c>
    </row>
    <row r="2641" spans="1:5" x14ac:dyDescent="0.35">
      <c r="A2641" s="1">
        <v>46105</v>
      </c>
      <c r="B2641" s="2">
        <v>46105</v>
      </c>
      <c r="C2641">
        <v>2</v>
      </c>
      <c r="D2641">
        <v>2.4</v>
      </c>
      <c r="E2641" s="4">
        <v>2.15</v>
      </c>
    </row>
    <row r="2642" spans="1:5" x14ac:dyDescent="0.35">
      <c r="A2642" s="1">
        <v>46106</v>
      </c>
      <c r="B2642" s="2">
        <v>46106</v>
      </c>
      <c r="C2642">
        <v>2</v>
      </c>
      <c r="D2642">
        <v>2.4</v>
      </c>
      <c r="E2642" s="4">
        <v>2.15</v>
      </c>
    </row>
    <row r="2643" spans="1:5" x14ac:dyDescent="0.35">
      <c r="A2643" s="1">
        <v>46107</v>
      </c>
      <c r="B2643" s="2">
        <v>46107</v>
      </c>
      <c r="C2643">
        <v>2</v>
      </c>
      <c r="D2643">
        <v>2.4</v>
      </c>
      <c r="E2643" s="4">
        <v>2.15</v>
      </c>
    </row>
    <row r="2644" spans="1:5" x14ac:dyDescent="0.35">
      <c r="A2644" s="1">
        <v>46108</v>
      </c>
      <c r="B2644" s="2">
        <v>46108</v>
      </c>
      <c r="C2644">
        <v>2</v>
      </c>
      <c r="D2644">
        <v>2.4</v>
      </c>
      <c r="E2644" s="4">
        <v>2.15</v>
      </c>
    </row>
    <row r="2645" spans="1:5" x14ac:dyDescent="0.35">
      <c r="A2645" s="1">
        <v>46109</v>
      </c>
      <c r="B2645" s="2">
        <v>46109</v>
      </c>
      <c r="C2645">
        <v>2</v>
      </c>
      <c r="D2645">
        <v>2.4</v>
      </c>
      <c r="E2645" s="4">
        <v>2.15</v>
      </c>
    </row>
    <row r="2646" spans="1:5" x14ac:dyDescent="0.35">
      <c r="A2646" s="1">
        <v>46110</v>
      </c>
      <c r="B2646" s="2">
        <v>46110</v>
      </c>
      <c r="C2646">
        <v>2</v>
      </c>
      <c r="D2646">
        <v>2.4</v>
      </c>
      <c r="E2646" s="4">
        <v>2.15</v>
      </c>
    </row>
    <row r="2647" spans="1:5" x14ac:dyDescent="0.35">
      <c r="A2647" s="1">
        <v>46111</v>
      </c>
      <c r="B2647" s="2">
        <v>46111</v>
      </c>
      <c r="C2647">
        <v>2</v>
      </c>
      <c r="D2647">
        <v>2.4</v>
      </c>
      <c r="E2647" s="4">
        <v>2.15</v>
      </c>
    </row>
    <row r="2648" spans="1:5" x14ac:dyDescent="0.35">
      <c r="A2648" s="1">
        <v>46112</v>
      </c>
      <c r="B2648" s="2">
        <v>46112</v>
      </c>
      <c r="C2648">
        <v>2</v>
      </c>
      <c r="D2648">
        <v>2.4</v>
      </c>
      <c r="E2648" s="4">
        <v>2.15</v>
      </c>
    </row>
    <row r="2649" spans="1:5" x14ac:dyDescent="0.35">
      <c r="A2649" s="1">
        <v>46113</v>
      </c>
      <c r="B2649" s="2">
        <v>46113</v>
      </c>
      <c r="C2649">
        <v>2</v>
      </c>
      <c r="D2649">
        <v>2.4</v>
      </c>
      <c r="E2649" s="4">
        <v>2.15</v>
      </c>
    </row>
    <row r="2650" spans="1:5" x14ac:dyDescent="0.35">
      <c r="A2650" s="1">
        <v>46114</v>
      </c>
      <c r="B2650" s="2">
        <v>46114</v>
      </c>
      <c r="C2650">
        <v>2</v>
      </c>
      <c r="D2650">
        <v>2.4</v>
      </c>
      <c r="E2650" s="4">
        <v>2.15</v>
      </c>
    </row>
    <row r="2651" spans="1:5" x14ac:dyDescent="0.35">
      <c r="A2651" s="1">
        <v>46115</v>
      </c>
      <c r="B2651" s="2">
        <v>46115</v>
      </c>
      <c r="C2651">
        <v>2</v>
      </c>
      <c r="D2651">
        <v>2.4</v>
      </c>
      <c r="E2651" s="4">
        <v>2.15</v>
      </c>
    </row>
    <row r="2652" spans="1:5" x14ac:dyDescent="0.35">
      <c r="A2652" s="1">
        <v>46116</v>
      </c>
      <c r="B2652" s="2">
        <v>46116</v>
      </c>
      <c r="C2652">
        <v>2</v>
      </c>
      <c r="D2652">
        <v>2.4</v>
      </c>
      <c r="E2652" s="4">
        <v>2.15</v>
      </c>
    </row>
    <row r="2653" spans="1:5" x14ac:dyDescent="0.35">
      <c r="A2653" s="1">
        <v>46117</v>
      </c>
      <c r="B2653" s="2">
        <v>46117</v>
      </c>
      <c r="C2653">
        <v>2</v>
      </c>
      <c r="D2653">
        <v>2.4</v>
      </c>
      <c r="E2653" s="4">
        <v>2.15</v>
      </c>
    </row>
    <row r="2654" spans="1:5" x14ac:dyDescent="0.35">
      <c r="A2654" s="1">
        <v>46118</v>
      </c>
      <c r="B2654" s="2">
        <v>46118</v>
      </c>
      <c r="C2654">
        <v>2</v>
      </c>
      <c r="D2654">
        <v>2.4</v>
      </c>
      <c r="E2654" s="4">
        <v>2.15</v>
      </c>
    </row>
    <row r="2655" spans="1:5" x14ac:dyDescent="0.35">
      <c r="A2655" s="1">
        <v>46119</v>
      </c>
      <c r="B2655" s="2">
        <v>46119</v>
      </c>
      <c r="C2655">
        <v>2</v>
      </c>
      <c r="D2655">
        <v>2.4</v>
      </c>
      <c r="E2655" s="4">
        <v>2.15</v>
      </c>
    </row>
    <row r="2656" spans="1:5" x14ac:dyDescent="0.35">
      <c r="A2656" s="1">
        <v>46120</v>
      </c>
      <c r="B2656" s="2">
        <v>46120</v>
      </c>
      <c r="C2656">
        <v>2</v>
      </c>
      <c r="D2656">
        <v>2.4</v>
      </c>
      <c r="E2656" s="4">
        <v>2.15</v>
      </c>
    </row>
    <row r="2657" spans="1:5" x14ac:dyDescent="0.35">
      <c r="A2657" s="1">
        <v>46121</v>
      </c>
      <c r="B2657" s="2">
        <v>46121</v>
      </c>
      <c r="C2657">
        <v>2</v>
      </c>
      <c r="D2657">
        <v>2.4</v>
      </c>
      <c r="E2657" s="4">
        <v>2.15</v>
      </c>
    </row>
    <row r="2658" spans="1:5" x14ac:dyDescent="0.35">
      <c r="A2658" s="1">
        <v>46122</v>
      </c>
      <c r="B2658" s="2">
        <v>46122</v>
      </c>
      <c r="C2658">
        <v>2</v>
      </c>
      <c r="D2658">
        <v>2.4</v>
      </c>
      <c r="E2658" s="4">
        <v>2.15</v>
      </c>
    </row>
    <row r="2659" spans="1:5" x14ac:dyDescent="0.35">
      <c r="A2659" s="1">
        <v>46123</v>
      </c>
      <c r="B2659" s="2">
        <v>46123</v>
      </c>
      <c r="C2659">
        <v>2</v>
      </c>
      <c r="D2659">
        <v>2.4</v>
      </c>
      <c r="E2659" s="4">
        <v>2.15</v>
      </c>
    </row>
    <row r="2660" spans="1:5" x14ac:dyDescent="0.35">
      <c r="A2660" s="1">
        <v>46124</v>
      </c>
      <c r="B2660" s="2">
        <v>46124</v>
      </c>
      <c r="C2660">
        <v>2</v>
      </c>
      <c r="D2660">
        <v>2.4</v>
      </c>
      <c r="E2660" s="4">
        <v>2.15</v>
      </c>
    </row>
    <row r="2661" spans="1:5" x14ac:dyDescent="0.35">
      <c r="A2661" s="1">
        <v>46125</v>
      </c>
      <c r="B2661" s="2">
        <v>46125</v>
      </c>
      <c r="C2661">
        <v>2</v>
      </c>
      <c r="D2661">
        <v>2.4</v>
      </c>
      <c r="E2661" s="4">
        <v>2.15</v>
      </c>
    </row>
    <row r="2662" spans="1:5" x14ac:dyDescent="0.35">
      <c r="A2662" s="1">
        <v>46126</v>
      </c>
      <c r="B2662" s="2">
        <v>46126</v>
      </c>
      <c r="C2662">
        <v>2</v>
      </c>
      <c r="D2662">
        <v>2.4</v>
      </c>
      <c r="E2662" s="4">
        <v>2.15</v>
      </c>
    </row>
    <row r="2663" spans="1:5" x14ac:dyDescent="0.35">
      <c r="A2663" s="1">
        <v>46127</v>
      </c>
      <c r="B2663" s="2">
        <v>46127</v>
      </c>
      <c r="C2663">
        <v>2</v>
      </c>
      <c r="D2663">
        <v>2.4</v>
      </c>
      <c r="E2663" s="4">
        <v>2.15</v>
      </c>
    </row>
    <row r="2664" spans="1:5" x14ac:dyDescent="0.35">
      <c r="A2664" s="1">
        <v>46128</v>
      </c>
      <c r="B2664" s="2">
        <v>46128</v>
      </c>
      <c r="C2664">
        <v>2</v>
      </c>
      <c r="D2664">
        <v>2.4</v>
      </c>
      <c r="E2664" s="4">
        <v>2.15</v>
      </c>
    </row>
    <row r="2665" spans="1:5" x14ac:dyDescent="0.35">
      <c r="A2665" s="1">
        <v>46129</v>
      </c>
      <c r="B2665" s="2">
        <v>46129</v>
      </c>
      <c r="C2665">
        <v>2</v>
      </c>
      <c r="D2665">
        <v>2.4</v>
      </c>
      <c r="E2665" s="4">
        <v>2.15</v>
      </c>
    </row>
    <row r="2666" spans="1:5" x14ac:dyDescent="0.35">
      <c r="A2666" s="1">
        <v>46130</v>
      </c>
      <c r="B2666" s="2">
        <v>46130</v>
      </c>
      <c r="C2666">
        <v>2</v>
      </c>
      <c r="D2666">
        <v>2.4</v>
      </c>
      <c r="E2666" s="4">
        <v>2.15</v>
      </c>
    </row>
    <row r="2667" spans="1:5" x14ac:dyDescent="0.35">
      <c r="A2667" s="1">
        <v>46131</v>
      </c>
      <c r="B2667" s="2">
        <v>46131</v>
      </c>
      <c r="C2667">
        <v>2</v>
      </c>
      <c r="D2667">
        <v>2.4</v>
      </c>
      <c r="E2667" s="4">
        <v>2.15</v>
      </c>
    </row>
    <row r="2668" spans="1:5" x14ac:dyDescent="0.35">
      <c r="A2668" s="1">
        <v>46132</v>
      </c>
      <c r="B2668" s="2">
        <v>46132</v>
      </c>
      <c r="C2668">
        <v>2</v>
      </c>
      <c r="D2668">
        <v>2.4</v>
      </c>
      <c r="E2668" s="4">
        <v>2.15</v>
      </c>
    </row>
    <row r="2669" spans="1:5" x14ac:dyDescent="0.35">
      <c r="A2669" s="1">
        <v>46133</v>
      </c>
      <c r="B2669" s="2">
        <v>46133</v>
      </c>
      <c r="C2669">
        <v>2</v>
      </c>
      <c r="D2669">
        <v>2.4</v>
      </c>
      <c r="E2669" s="4">
        <v>2.15</v>
      </c>
    </row>
    <row r="2670" spans="1:5" x14ac:dyDescent="0.35">
      <c r="A2670" s="1">
        <v>46134</v>
      </c>
      <c r="B2670" s="2">
        <v>46134</v>
      </c>
      <c r="C2670">
        <v>2</v>
      </c>
      <c r="D2670">
        <v>2.4</v>
      </c>
      <c r="E2670" s="4">
        <v>2.15</v>
      </c>
    </row>
    <row r="2671" spans="1:5" x14ac:dyDescent="0.35">
      <c r="A2671" s="1">
        <v>46135</v>
      </c>
      <c r="B2671" s="2">
        <v>46135</v>
      </c>
      <c r="C2671">
        <v>2</v>
      </c>
      <c r="D2671">
        <v>2.4</v>
      </c>
      <c r="E2671" s="4">
        <v>2.15</v>
      </c>
    </row>
    <row r="2672" spans="1:5" x14ac:dyDescent="0.35">
      <c r="A2672" s="1">
        <v>46136</v>
      </c>
      <c r="B2672" s="2">
        <v>46136</v>
      </c>
      <c r="C2672">
        <v>2</v>
      </c>
      <c r="D2672">
        <v>2.4</v>
      </c>
      <c r="E2672" s="4">
        <v>2.15</v>
      </c>
    </row>
    <row r="2673" spans="1:5" x14ac:dyDescent="0.35">
      <c r="A2673" s="1">
        <v>46137</v>
      </c>
      <c r="B2673" s="2">
        <v>46137</v>
      </c>
      <c r="C2673">
        <v>2</v>
      </c>
      <c r="D2673">
        <v>2.4</v>
      </c>
      <c r="E2673" s="4">
        <v>2.15</v>
      </c>
    </row>
    <row r="2674" spans="1:5" x14ac:dyDescent="0.35">
      <c r="A2674" s="1">
        <v>46138</v>
      </c>
      <c r="B2674" s="2">
        <v>46138</v>
      </c>
      <c r="C2674">
        <v>2</v>
      </c>
      <c r="D2674">
        <v>2.4</v>
      </c>
      <c r="E2674" s="4">
        <v>2.15</v>
      </c>
    </row>
    <row r="2675" spans="1:5" x14ac:dyDescent="0.35">
      <c r="A2675" s="1">
        <v>46139</v>
      </c>
      <c r="B2675" s="2">
        <v>46139</v>
      </c>
      <c r="C2675">
        <v>2</v>
      </c>
      <c r="D2675">
        <v>2.4</v>
      </c>
      <c r="E2675" s="4">
        <v>2.15</v>
      </c>
    </row>
    <row r="2676" spans="1:5" x14ac:dyDescent="0.35">
      <c r="A2676" s="1">
        <v>46140</v>
      </c>
      <c r="B2676" s="2">
        <v>46140</v>
      </c>
      <c r="C2676">
        <v>2</v>
      </c>
      <c r="D2676">
        <v>2.4</v>
      </c>
      <c r="E2676" s="4">
        <v>2.15</v>
      </c>
    </row>
    <row r="2677" spans="1:5" x14ac:dyDescent="0.35">
      <c r="A2677" s="1">
        <v>46141</v>
      </c>
      <c r="B2677" s="2">
        <v>46141</v>
      </c>
      <c r="C2677">
        <v>2</v>
      </c>
      <c r="D2677">
        <v>2.4</v>
      </c>
      <c r="E2677" s="4">
        <v>2.15</v>
      </c>
    </row>
    <row r="2678" spans="1:5" x14ac:dyDescent="0.35">
      <c r="A2678" s="1">
        <v>46142</v>
      </c>
      <c r="B2678" s="2">
        <v>46142</v>
      </c>
      <c r="C2678">
        <v>2</v>
      </c>
      <c r="D2678">
        <v>2.4</v>
      </c>
      <c r="E2678" s="4">
        <v>2.15</v>
      </c>
    </row>
    <row r="2679" spans="1:5" x14ac:dyDescent="0.35">
      <c r="A2679" s="1">
        <v>46143</v>
      </c>
      <c r="B2679" s="2">
        <v>46143</v>
      </c>
      <c r="C2679">
        <v>2</v>
      </c>
      <c r="D2679">
        <v>2.4</v>
      </c>
      <c r="E2679" s="4">
        <v>2.15</v>
      </c>
    </row>
    <row r="2680" spans="1:5" x14ac:dyDescent="0.35">
      <c r="A2680" s="1">
        <v>46144</v>
      </c>
      <c r="B2680" s="2">
        <v>46144</v>
      </c>
      <c r="C2680">
        <v>2</v>
      </c>
      <c r="D2680">
        <v>2.4</v>
      </c>
      <c r="E2680" s="4">
        <v>2.15</v>
      </c>
    </row>
    <row r="2681" spans="1:5" x14ac:dyDescent="0.35">
      <c r="A2681" s="1">
        <v>46145</v>
      </c>
      <c r="B2681" s="2">
        <v>46145</v>
      </c>
      <c r="C2681">
        <v>2</v>
      </c>
      <c r="D2681">
        <v>2.4</v>
      </c>
      <c r="E2681" s="4">
        <v>2.15</v>
      </c>
    </row>
    <row r="2682" spans="1:5" x14ac:dyDescent="0.35">
      <c r="A2682" s="1">
        <v>46146</v>
      </c>
      <c r="B2682" s="2">
        <v>46146</v>
      </c>
      <c r="C2682">
        <v>2</v>
      </c>
      <c r="D2682">
        <v>2.4</v>
      </c>
      <c r="E2682" s="4">
        <v>2.15</v>
      </c>
    </row>
    <row r="2683" spans="1:5" x14ac:dyDescent="0.35">
      <c r="A2683" s="1">
        <v>46147</v>
      </c>
      <c r="B2683" s="2">
        <v>46147</v>
      </c>
      <c r="C2683">
        <v>2</v>
      </c>
      <c r="D2683">
        <v>2.4</v>
      </c>
      <c r="E2683" s="4">
        <v>2.15</v>
      </c>
    </row>
    <row r="2684" spans="1:5" x14ac:dyDescent="0.35">
      <c r="A2684" s="1">
        <v>46148</v>
      </c>
      <c r="B2684" s="2">
        <v>46148</v>
      </c>
      <c r="C2684">
        <v>2</v>
      </c>
      <c r="D2684">
        <v>2.4</v>
      </c>
      <c r="E2684" s="4">
        <v>2.15</v>
      </c>
    </row>
    <row r="2685" spans="1:5" x14ac:dyDescent="0.35">
      <c r="A2685" s="1">
        <v>46149</v>
      </c>
      <c r="B2685" s="2">
        <v>46149</v>
      </c>
      <c r="C2685">
        <v>2</v>
      </c>
      <c r="D2685">
        <v>2.4</v>
      </c>
      <c r="E2685" s="4">
        <v>2.15</v>
      </c>
    </row>
    <row r="2686" spans="1:5" x14ac:dyDescent="0.35">
      <c r="A2686" s="1">
        <v>46150</v>
      </c>
      <c r="B2686" s="2">
        <v>46150</v>
      </c>
      <c r="C2686">
        <v>2</v>
      </c>
      <c r="D2686">
        <v>2.4</v>
      </c>
      <c r="E2686" s="4">
        <v>2.15</v>
      </c>
    </row>
    <row r="2687" spans="1:5" x14ac:dyDescent="0.35">
      <c r="A2687" s="1">
        <v>46151</v>
      </c>
      <c r="B2687" s="2">
        <v>46151</v>
      </c>
      <c r="C2687">
        <v>2</v>
      </c>
      <c r="D2687">
        <v>2.4</v>
      </c>
      <c r="E2687" s="4">
        <v>2.15</v>
      </c>
    </row>
    <row r="2688" spans="1:5" x14ac:dyDescent="0.35">
      <c r="A2688" s="1">
        <v>46152</v>
      </c>
      <c r="B2688" s="2">
        <v>46152</v>
      </c>
      <c r="C2688">
        <v>2</v>
      </c>
      <c r="D2688">
        <v>2.4</v>
      </c>
      <c r="E2688" s="4">
        <v>2.15</v>
      </c>
    </row>
    <row r="2689" spans="1:5" x14ac:dyDescent="0.35">
      <c r="A2689" s="1">
        <v>46153</v>
      </c>
      <c r="B2689" s="2">
        <v>46153</v>
      </c>
      <c r="C2689">
        <v>2</v>
      </c>
      <c r="D2689">
        <v>2.4</v>
      </c>
      <c r="E2689" s="4">
        <v>2.15</v>
      </c>
    </row>
    <row r="2690" spans="1:5" x14ac:dyDescent="0.35">
      <c r="A2690" s="1">
        <v>46154</v>
      </c>
      <c r="B2690" s="2">
        <v>46154</v>
      </c>
      <c r="C2690">
        <v>2</v>
      </c>
      <c r="D2690">
        <v>2.4</v>
      </c>
      <c r="E2690" s="4">
        <v>2.15</v>
      </c>
    </row>
    <row r="2691" spans="1:5" x14ac:dyDescent="0.35">
      <c r="A2691" s="1">
        <v>46155</v>
      </c>
      <c r="B2691" s="2">
        <v>46155</v>
      </c>
      <c r="C2691">
        <v>2</v>
      </c>
      <c r="D2691">
        <v>2.4</v>
      </c>
      <c r="E2691" s="4">
        <v>2.15</v>
      </c>
    </row>
    <row r="2692" spans="1:5" x14ac:dyDescent="0.35">
      <c r="A2692" s="1">
        <v>46156</v>
      </c>
      <c r="B2692" s="2">
        <v>46156</v>
      </c>
      <c r="C2692">
        <v>2</v>
      </c>
      <c r="D2692">
        <v>2.4</v>
      </c>
      <c r="E2692" s="4">
        <v>2.15</v>
      </c>
    </row>
    <row r="2693" spans="1:5" x14ac:dyDescent="0.35">
      <c r="A2693" s="1">
        <v>46157</v>
      </c>
      <c r="B2693" s="2">
        <v>46157</v>
      </c>
      <c r="C2693">
        <v>2</v>
      </c>
      <c r="D2693">
        <v>2.4</v>
      </c>
      <c r="E2693" s="4">
        <v>2.15</v>
      </c>
    </row>
    <row r="2694" spans="1:5" x14ac:dyDescent="0.35">
      <c r="A2694" s="1">
        <v>46158</v>
      </c>
      <c r="B2694" s="2">
        <v>46158</v>
      </c>
      <c r="C2694">
        <v>2</v>
      </c>
      <c r="D2694">
        <v>2.4</v>
      </c>
      <c r="E2694" s="4">
        <v>2.15</v>
      </c>
    </row>
    <row r="2695" spans="1:5" x14ac:dyDescent="0.35">
      <c r="A2695" s="1">
        <v>46159</v>
      </c>
      <c r="B2695" s="2">
        <v>46159</v>
      </c>
      <c r="C2695">
        <v>2</v>
      </c>
      <c r="D2695">
        <v>2.4</v>
      </c>
      <c r="E2695" s="4">
        <v>2.15</v>
      </c>
    </row>
    <row r="2696" spans="1:5" x14ac:dyDescent="0.35">
      <c r="A2696" s="1">
        <v>46160</v>
      </c>
      <c r="B2696" s="2">
        <v>46160</v>
      </c>
      <c r="C2696">
        <v>2</v>
      </c>
      <c r="D2696">
        <v>2.4</v>
      </c>
      <c r="E2696" s="4">
        <v>2.15</v>
      </c>
    </row>
    <row r="2697" spans="1:5" x14ac:dyDescent="0.35">
      <c r="A2697" s="1">
        <v>46161</v>
      </c>
      <c r="B2697" s="2">
        <v>46161</v>
      </c>
      <c r="C2697">
        <v>2</v>
      </c>
      <c r="D2697">
        <v>2.4</v>
      </c>
      <c r="E2697" s="4">
        <v>2.15</v>
      </c>
    </row>
    <row r="2698" spans="1:5" x14ac:dyDescent="0.35">
      <c r="A2698" s="1">
        <v>46162</v>
      </c>
      <c r="B2698" s="2">
        <v>46162</v>
      </c>
      <c r="C2698">
        <v>2</v>
      </c>
      <c r="D2698">
        <v>2.4</v>
      </c>
      <c r="E2698" s="4">
        <v>2.15</v>
      </c>
    </row>
    <row r="2699" spans="1:5" x14ac:dyDescent="0.35">
      <c r="A2699" s="1">
        <v>46163</v>
      </c>
      <c r="B2699" s="2">
        <v>46163</v>
      </c>
      <c r="C2699">
        <v>2</v>
      </c>
      <c r="D2699">
        <v>2.4</v>
      </c>
      <c r="E2699" s="4">
        <v>2.15</v>
      </c>
    </row>
    <row r="2700" spans="1:5" x14ac:dyDescent="0.35">
      <c r="A2700" s="1">
        <v>46164</v>
      </c>
      <c r="B2700" s="2">
        <v>46164</v>
      </c>
      <c r="C2700">
        <v>2</v>
      </c>
      <c r="D2700">
        <v>2.4</v>
      </c>
      <c r="E2700" s="4">
        <v>2.15</v>
      </c>
    </row>
    <row r="2701" spans="1:5" x14ac:dyDescent="0.35">
      <c r="A2701" s="1">
        <v>46165</v>
      </c>
      <c r="B2701" s="2">
        <v>46165</v>
      </c>
      <c r="C2701">
        <v>2</v>
      </c>
      <c r="D2701">
        <v>2.4</v>
      </c>
      <c r="E2701" s="4">
        <v>2.15</v>
      </c>
    </row>
    <row r="2702" spans="1:5" x14ac:dyDescent="0.35">
      <c r="A2702" s="1">
        <v>46166</v>
      </c>
      <c r="B2702" s="2">
        <v>46166</v>
      </c>
      <c r="C2702">
        <v>2</v>
      </c>
      <c r="D2702">
        <v>2.4</v>
      </c>
      <c r="E2702" s="4">
        <v>2.15</v>
      </c>
    </row>
    <row r="2703" spans="1:5" x14ac:dyDescent="0.35">
      <c r="A2703" s="1">
        <v>46167</v>
      </c>
      <c r="B2703" s="2">
        <v>46167</v>
      </c>
      <c r="C2703">
        <v>2</v>
      </c>
      <c r="D2703">
        <v>2.4</v>
      </c>
      <c r="E2703" s="4">
        <v>2.15</v>
      </c>
    </row>
    <row r="2704" spans="1:5" x14ac:dyDescent="0.35">
      <c r="A2704" s="1">
        <v>46168</v>
      </c>
      <c r="B2704" s="2">
        <v>46168</v>
      </c>
      <c r="C2704">
        <v>2</v>
      </c>
      <c r="D2704">
        <v>2.4</v>
      </c>
      <c r="E2704" s="4">
        <v>2.15</v>
      </c>
    </row>
    <row r="2705" spans="1:5" x14ac:dyDescent="0.35">
      <c r="A2705" s="1">
        <v>46169</v>
      </c>
      <c r="B2705" s="2">
        <v>46169</v>
      </c>
      <c r="C2705">
        <v>2</v>
      </c>
      <c r="D2705">
        <v>2.4</v>
      </c>
      <c r="E2705" s="4">
        <v>2.15</v>
      </c>
    </row>
    <row r="2706" spans="1:5" x14ac:dyDescent="0.35">
      <c r="A2706" s="1">
        <v>46170</v>
      </c>
      <c r="B2706" s="2">
        <v>46170</v>
      </c>
      <c r="C2706">
        <v>2</v>
      </c>
      <c r="D2706">
        <v>2.4</v>
      </c>
      <c r="E2706" s="4">
        <v>2.15</v>
      </c>
    </row>
    <row r="2707" spans="1:5" x14ac:dyDescent="0.35">
      <c r="A2707" s="1">
        <v>46171</v>
      </c>
      <c r="B2707" s="2">
        <v>46171</v>
      </c>
      <c r="C2707">
        <v>2</v>
      </c>
      <c r="D2707">
        <v>2.4</v>
      </c>
      <c r="E2707" s="4">
        <v>2.15</v>
      </c>
    </row>
    <row r="2708" spans="1:5" x14ac:dyDescent="0.35">
      <c r="A2708" s="1">
        <v>46172</v>
      </c>
      <c r="B2708" s="2">
        <v>46172</v>
      </c>
      <c r="C2708">
        <v>2</v>
      </c>
      <c r="D2708">
        <v>2.4</v>
      </c>
      <c r="E2708" s="4">
        <v>2.15</v>
      </c>
    </row>
    <row r="2709" spans="1:5" x14ac:dyDescent="0.35">
      <c r="A2709" s="1">
        <v>46173</v>
      </c>
      <c r="B2709" s="2">
        <v>46173</v>
      </c>
      <c r="C2709">
        <v>2</v>
      </c>
      <c r="D2709">
        <v>2.4</v>
      </c>
      <c r="E2709" s="4">
        <v>2.15</v>
      </c>
    </row>
    <row r="2710" spans="1:5" x14ac:dyDescent="0.35">
      <c r="A2710" s="1">
        <v>46174</v>
      </c>
      <c r="B2710" s="2">
        <v>46174</v>
      </c>
      <c r="C2710">
        <v>2</v>
      </c>
      <c r="D2710">
        <v>2.4</v>
      </c>
      <c r="E2710" s="4">
        <v>2.15</v>
      </c>
    </row>
    <row r="2711" spans="1:5" x14ac:dyDescent="0.35">
      <c r="A2711" s="1">
        <v>46175</v>
      </c>
      <c r="B2711" s="2">
        <v>46175</v>
      </c>
      <c r="C2711">
        <v>2</v>
      </c>
      <c r="D2711">
        <v>2.4</v>
      </c>
      <c r="E2711" s="4">
        <v>2.15</v>
      </c>
    </row>
    <row r="2712" spans="1:5" x14ac:dyDescent="0.35">
      <c r="A2712" s="1">
        <v>46176</v>
      </c>
      <c r="B2712" s="2">
        <v>46176</v>
      </c>
      <c r="C2712">
        <v>2</v>
      </c>
      <c r="D2712">
        <v>2.4</v>
      </c>
      <c r="E2712" s="4">
        <v>2.15</v>
      </c>
    </row>
    <row r="2713" spans="1:5" x14ac:dyDescent="0.35">
      <c r="A2713" s="1">
        <v>46177</v>
      </c>
      <c r="B2713" s="2">
        <v>46177</v>
      </c>
      <c r="C2713">
        <v>2</v>
      </c>
      <c r="D2713">
        <v>2.4</v>
      </c>
      <c r="E2713" s="4">
        <v>2.15</v>
      </c>
    </row>
    <row r="2714" spans="1:5" x14ac:dyDescent="0.35">
      <c r="A2714" s="1">
        <v>46178</v>
      </c>
      <c r="B2714" s="2">
        <v>46178</v>
      </c>
      <c r="C2714">
        <v>2</v>
      </c>
      <c r="D2714">
        <v>2.4</v>
      </c>
      <c r="E2714" s="4">
        <v>2.15</v>
      </c>
    </row>
    <row r="2715" spans="1:5" x14ac:dyDescent="0.35">
      <c r="A2715" s="1">
        <v>46179</v>
      </c>
      <c r="B2715" s="2">
        <v>46179</v>
      </c>
      <c r="C2715">
        <v>2</v>
      </c>
      <c r="D2715">
        <v>2.4</v>
      </c>
      <c r="E2715" s="4">
        <v>2.15</v>
      </c>
    </row>
    <row r="2716" spans="1:5" x14ac:dyDescent="0.35">
      <c r="A2716" s="1">
        <v>46180</v>
      </c>
      <c r="B2716" s="2">
        <v>46180</v>
      </c>
      <c r="C2716">
        <v>2</v>
      </c>
      <c r="D2716">
        <v>2.4</v>
      </c>
      <c r="E2716" s="4">
        <v>2.15</v>
      </c>
    </row>
    <row r="2717" spans="1:5" x14ac:dyDescent="0.35">
      <c r="A2717" s="1">
        <v>46181</v>
      </c>
      <c r="B2717" s="2">
        <v>46181</v>
      </c>
      <c r="C2717">
        <v>2</v>
      </c>
      <c r="D2717">
        <v>2.4</v>
      </c>
      <c r="E2717" s="4">
        <v>2.15</v>
      </c>
    </row>
    <row r="2718" spans="1:5" x14ac:dyDescent="0.35">
      <c r="A2718" s="1">
        <v>46182</v>
      </c>
      <c r="B2718" s="2">
        <v>46182</v>
      </c>
      <c r="C2718">
        <v>2</v>
      </c>
      <c r="D2718">
        <v>2.4</v>
      </c>
      <c r="E2718" s="4">
        <v>2.15</v>
      </c>
    </row>
    <row r="2719" spans="1:5" x14ac:dyDescent="0.35">
      <c r="A2719" s="1">
        <v>46183</v>
      </c>
      <c r="B2719" s="2">
        <v>46183</v>
      </c>
      <c r="C2719">
        <v>2</v>
      </c>
      <c r="D2719">
        <v>2.4</v>
      </c>
      <c r="E2719" s="4">
        <v>2.15</v>
      </c>
    </row>
    <row r="2720" spans="1:5" x14ac:dyDescent="0.35">
      <c r="A2720" s="1">
        <v>46184</v>
      </c>
      <c r="B2720" s="2">
        <v>46184</v>
      </c>
      <c r="C2720">
        <v>2</v>
      </c>
      <c r="D2720">
        <v>2.4</v>
      </c>
      <c r="E2720" s="4">
        <v>2.15</v>
      </c>
    </row>
    <row r="2721" spans="1:5" x14ac:dyDescent="0.35">
      <c r="A2721" s="1">
        <v>46185</v>
      </c>
      <c r="B2721" s="2">
        <v>46185</v>
      </c>
      <c r="C2721">
        <v>2</v>
      </c>
      <c r="D2721">
        <v>2.4</v>
      </c>
      <c r="E2721" s="4">
        <v>2.15</v>
      </c>
    </row>
    <row r="2722" spans="1:5" x14ac:dyDescent="0.35">
      <c r="A2722" s="1">
        <v>46186</v>
      </c>
      <c r="B2722" s="2">
        <v>46186</v>
      </c>
      <c r="C2722">
        <v>2</v>
      </c>
      <c r="D2722">
        <v>2.4</v>
      </c>
      <c r="E2722" s="4">
        <v>2.15</v>
      </c>
    </row>
    <row r="2723" spans="1:5" x14ac:dyDescent="0.35">
      <c r="A2723" s="1">
        <v>46187</v>
      </c>
      <c r="B2723" s="2">
        <v>46187</v>
      </c>
      <c r="C2723">
        <v>2</v>
      </c>
      <c r="D2723">
        <v>2.4</v>
      </c>
      <c r="E2723" s="4">
        <v>2.15</v>
      </c>
    </row>
    <row r="2724" spans="1:5" x14ac:dyDescent="0.35">
      <c r="A2724" s="1">
        <v>46188</v>
      </c>
      <c r="B2724" s="2">
        <v>46188</v>
      </c>
      <c r="C2724">
        <v>2</v>
      </c>
      <c r="D2724">
        <v>2.4</v>
      </c>
      <c r="E2724" s="4">
        <v>2.15</v>
      </c>
    </row>
    <row r="2725" spans="1:5" x14ac:dyDescent="0.35">
      <c r="A2725" s="1">
        <v>46189</v>
      </c>
      <c r="B2725" s="2">
        <v>46189</v>
      </c>
      <c r="C2725">
        <v>2</v>
      </c>
      <c r="D2725">
        <v>2.4</v>
      </c>
      <c r="E2725" s="4">
        <v>2.15</v>
      </c>
    </row>
    <row r="2726" spans="1:5" x14ac:dyDescent="0.35">
      <c r="A2726" s="1">
        <v>46190</v>
      </c>
      <c r="B2726" s="2">
        <v>46190</v>
      </c>
      <c r="C2726">
        <v>2.25</v>
      </c>
      <c r="D2726">
        <v>2.65</v>
      </c>
      <c r="E2726" s="4">
        <v>2.4</v>
      </c>
    </row>
    <row r="2727" spans="1:5" x14ac:dyDescent="0.35">
      <c r="A2727" s="1">
        <v>46191</v>
      </c>
      <c r="B2727" s="2">
        <v>46191</v>
      </c>
      <c r="C2727">
        <v>2.25</v>
      </c>
      <c r="D2727">
        <v>2.65</v>
      </c>
      <c r="E2727" s="4">
        <v>2.4</v>
      </c>
    </row>
    <row r="2728" spans="1:5" x14ac:dyDescent="0.35">
      <c r="A2728" s="1">
        <v>46192</v>
      </c>
      <c r="B2728" s="2">
        <v>46192</v>
      </c>
      <c r="C2728">
        <v>2.25</v>
      </c>
      <c r="D2728">
        <v>2.65</v>
      </c>
      <c r="E2728" s="4">
        <v>2.4</v>
      </c>
    </row>
    <row r="2729" spans="1:5" x14ac:dyDescent="0.35">
      <c r="A2729" s="1">
        <v>46193</v>
      </c>
      <c r="B2729" s="2">
        <v>46193</v>
      </c>
      <c r="C2729">
        <v>2.25</v>
      </c>
      <c r="D2729">
        <v>2.65</v>
      </c>
      <c r="E2729" s="4">
        <v>2.4</v>
      </c>
    </row>
    <row r="2730" spans="1:5" x14ac:dyDescent="0.35">
      <c r="A2730" s="1">
        <v>46194</v>
      </c>
      <c r="B2730" s="2">
        <v>46194</v>
      </c>
      <c r="C2730">
        <v>2.25</v>
      </c>
      <c r="D2730">
        <v>2.65</v>
      </c>
      <c r="E2730" s="4">
        <v>2.4</v>
      </c>
    </row>
    <row r="2731" spans="1:5" x14ac:dyDescent="0.35">
      <c r="A2731" s="1">
        <v>46195</v>
      </c>
      <c r="B2731" s="2">
        <v>46195</v>
      </c>
      <c r="C2731">
        <v>2.25</v>
      </c>
      <c r="D2731">
        <v>2.65</v>
      </c>
      <c r="E2731" s="4">
        <v>2.4</v>
      </c>
    </row>
    <row r="2732" spans="1:5" x14ac:dyDescent="0.35">
      <c r="A2732" s="1">
        <v>46196</v>
      </c>
      <c r="B2732" s="2">
        <v>46196</v>
      </c>
      <c r="C2732">
        <v>2.25</v>
      </c>
      <c r="D2732">
        <v>2.65</v>
      </c>
      <c r="E2732" s="4">
        <v>2.4</v>
      </c>
    </row>
    <row r="2733" spans="1:5" x14ac:dyDescent="0.35">
      <c r="A2733" s="1">
        <v>46197</v>
      </c>
      <c r="B2733" s="2">
        <v>46197</v>
      </c>
      <c r="C2733">
        <v>2.25</v>
      </c>
      <c r="D2733">
        <v>2.65</v>
      </c>
      <c r="E2733" s="4">
        <v>2.4</v>
      </c>
    </row>
    <row r="2734" spans="1:5" x14ac:dyDescent="0.35">
      <c r="A2734" s="1">
        <v>46198</v>
      </c>
      <c r="B2734" s="2">
        <v>46198</v>
      </c>
      <c r="C2734">
        <v>2.25</v>
      </c>
      <c r="D2734">
        <v>2.65</v>
      </c>
      <c r="E2734" s="4">
        <v>2.4</v>
      </c>
    </row>
    <row r="2735" spans="1:5" x14ac:dyDescent="0.35">
      <c r="A2735" s="1">
        <v>46199</v>
      </c>
      <c r="B2735" s="2">
        <v>46199</v>
      </c>
      <c r="C2735">
        <v>2.25</v>
      </c>
      <c r="D2735">
        <v>2.65</v>
      </c>
      <c r="E2735" s="4">
        <v>2.4</v>
      </c>
    </row>
    <row r="2736" spans="1:5" x14ac:dyDescent="0.35">
      <c r="A2736" s="1">
        <v>46200</v>
      </c>
      <c r="B2736" s="2">
        <v>46200</v>
      </c>
      <c r="C2736">
        <v>2.25</v>
      </c>
      <c r="D2736">
        <v>2.65</v>
      </c>
      <c r="E2736" s="4">
        <v>2.4</v>
      </c>
    </row>
    <row r="2737" spans="1:5" x14ac:dyDescent="0.35">
      <c r="A2737" s="1">
        <v>46201</v>
      </c>
      <c r="B2737" s="2">
        <v>46201</v>
      </c>
      <c r="C2737">
        <v>2.25</v>
      </c>
      <c r="D2737">
        <v>2.65</v>
      </c>
      <c r="E2737" s="4">
        <v>2.4</v>
      </c>
    </row>
    <row r="2738" spans="1:5" x14ac:dyDescent="0.35">
      <c r="A2738" s="1">
        <v>46202</v>
      </c>
      <c r="B2738" s="2">
        <v>46202</v>
      </c>
      <c r="C2738">
        <v>2.25</v>
      </c>
      <c r="D2738">
        <v>2.65</v>
      </c>
      <c r="E2738" s="4">
        <v>2.4</v>
      </c>
    </row>
    <row r="2739" spans="1:5" x14ac:dyDescent="0.35">
      <c r="A2739" s="1">
        <v>46203</v>
      </c>
      <c r="B2739" s="2">
        <v>46203</v>
      </c>
      <c r="C2739">
        <v>2.25</v>
      </c>
      <c r="D2739">
        <v>2.65</v>
      </c>
      <c r="E2739" s="4">
        <v>2.4</v>
      </c>
    </row>
    <row r="2740" spans="1:5" x14ac:dyDescent="0.35">
      <c r="A2740" s="1">
        <v>46204</v>
      </c>
      <c r="B2740" s="2">
        <v>46204</v>
      </c>
      <c r="C2740">
        <v>2.25</v>
      </c>
      <c r="D2740">
        <v>2.65</v>
      </c>
      <c r="E2740" s="4">
        <v>2.4</v>
      </c>
    </row>
    <row r="2741" spans="1:5" x14ac:dyDescent="0.35">
      <c r="A2741" s="1">
        <v>46205</v>
      </c>
      <c r="B2741" s="2">
        <v>46205</v>
      </c>
      <c r="C2741">
        <v>2.25</v>
      </c>
      <c r="D2741">
        <v>2.65</v>
      </c>
      <c r="E2741" s="4">
        <v>2.4</v>
      </c>
    </row>
    <row r="2742" spans="1:5" x14ac:dyDescent="0.35">
      <c r="A2742" s="1">
        <v>46206</v>
      </c>
      <c r="B2742" s="2">
        <v>46206</v>
      </c>
      <c r="C2742">
        <v>2.25</v>
      </c>
      <c r="D2742">
        <v>2.65</v>
      </c>
      <c r="E2742" s="4">
        <v>2.4</v>
      </c>
    </row>
    <row r="2743" spans="1:5" x14ac:dyDescent="0.35">
      <c r="A2743" s="1">
        <v>46207</v>
      </c>
      <c r="B2743" s="2">
        <v>46207</v>
      </c>
      <c r="C2743">
        <v>2.25</v>
      </c>
      <c r="D2743">
        <v>2.65</v>
      </c>
      <c r="E2743" s="4">
        <v>2.4</v>
      </c>
    </row>
    <row r="2744" spans="1:5" x14ac:dyDescent="0.35">
      <c r="A2744" s="1">
        <v>46208</v>
      </c>
      <c r="B2744" s="2">
        <v>46208</v>
      </c>
      <c r="C2744">
        <v>2.25</v>
      </c>
      <c r="D2744">
        <v>2.65</v>
      </c>
      <c r="E2744" s="4">
        <v>2.4</v>
      </c>
    </row>
    <row r="2745" spans="1:5" x14ac:dyDescent="0.35">
      <c r="A2745" s="1">
        <v>46209</v>
      </c>
      <c r="B2745" s="2">
        <v>46209</v>
      </c>
      <c r="C2745">
        <v>2.25</v>
      </c>
      <c r="D2745">
        <v>2.65</v>
      </c>
      <c r="E2745" s="4">
        <v>2.4</v>
      </c>
    </row>
    <row r="2746" spans="1:5" x14ac:dyDescent="0.35">
      <c r="A2746" s="1">
        <v>46210</v>
      </c>
      <c r="B2746" s="2">
        <v>46210</v>
      </c>
      <c r="C2746">
        <v>2.25</v>
      </c>
      <c r="D2746">
        <v>2.65</v>
      </c>
      <c r="E2746" s="4">
        <v>2.4</v>
      </c>
    </row>
    <row r="2747" spans="1:5" x14ac:dyDescent="0.35">
      <c r="A2747" s="1">
        <v>46211</v>
      </c>
      <c r="B2747" s="2">
        <v>46211</v>
      </c>
      <c r="C2747">
        <v>2.25</v>
      </c>
      <c r="D2747">
        <v>2.65</v>
      </c>
      <c r="E2747" s="4">
        <v>2.4</v>
      </c>
    </row>
    <row r="2748" spans="1:5" x14ac:dyDescent="0.35">
      <c r="A2748" s="1">
        <v>46212</v>
      </c>
      <c r="B2748" s="2">
        <v>46212</v>
      </c>
      <c r="C2748">
        <v>2.25</v>
      </c>
      <c r="D2748">
        <v>2.65</v>
      </c>
      <c r="E2748" s="4">
        <v>2.4</v>
      </c>
    </row>
    <row r="2749" spans="1:5" x14ac:dyDescent="0.35">
      <c r="A2749" s="1">
        <v>46213</v>
      </c>
      <c r="B2749" s="2">
        <v>46213</v>
      </c>
      <c r="C2749">
        <v>2.25</v>
      </c>
      <c r="D2749">
        <v>2.65</v>
      </c>
      <c r="E2749" s="4">
        <v>2.4</v>
      </c>
    </row>
    <row r="2750" spans="1:5" x14ac:dyDescent="0.35">
      <c r="A2750" s="1">
        <v>46214</v>
      </c>
      <c r="B2750" s="2">
        <v>46214</v>
      </c>
      <c r="C2750">
        <v>2.25</v>
      </c>
      <c r="D2750">
        <v>2.65</v>
      </c>
      <c r="E2750" s="4">
        <v>2.4</v>
      </c>
    </row>
    <row r="2751" spans="1:5" x14ac:dyDescent="0.35">
      <c r="A2751" s="1">
        <v>46215</v>
      </c>
      <c r="B2751" s="2">
        <v>46215</v>
      </c>
      <c r="C2751">
        <v>2.25</v>
      </c>
      <c r="D2751">
        <v>2.65</v>
      </c>
      <c r="E2751" s="4">
        <v>2.4</v>
      </c>
    </row>
    <row r="2752" spans="1:5" x14ac:dyDescent="0.35">
      <c r="A2752" s="1">
        <v>46216</v>
      </c>
      <c r="B2752" s="2">
        <v>46216</v>
      </c>
      <c r="C2752">
        <v>2.25</v>
      </c>
      <c r="D2752">
        <v>2.65</v>
      </c>
      <c r="E2752" s="4">
        <v>2.4</v>
      </c>
    </row>
    <row r="2753" spans="1:5" x14ac:dyDescent="0.35">
      <c r="A2753" s="1">
        <v>46217</v>
      </c>
      <c r="B2753" s="2">
        <v>46217</v>
      </c>
      <c r="C2753">
        <v>2.25</v>
      </c>
      <c r="D2753">
        <v>2.65</v>
      </c>
      <c r="E2753" s="4">
        <v>2.4</v>
      </c>
    </row>
    <row r="2754" spans="1:5" x14ac:dyDescent="0.35">
      <c r="A2754" s="1">
        <v>46218</v>
      </c>
      <c r="B2754" s="2">
        <v>46218</v>
      </c>
      <c r="C2754">
        <v>2.25</v>
      </c>
      <c r="D2754">
        <v>2.65</v>
      </c>
      <c r="E2754" s="4">
        <v>2.4</v>
      </c>
    </row>
    <row r="2755" spans="1:5" x14ac:dyDescent="0.35">
      <c r="A2755" s="1">
        <v>46219</v>
      </c>
      <c r="B2755" s="2">
        <v>46219</v>
      </c>
      <c r="C2755">
        <v>2.25</v>
      </c>
      <c r="D2755">
        <v>2.65</v>
      </c>
      <c r="E2755" s="4">
        <v>2.4</v>
      </c>
    </row>
    <row r="2756" spans="1:5" x14ac:dyDescent="0.35">
      <c r="A2756" s="1">
        <v>46220</v>
      </c>
      <c r="B2756" s="2">
        <v>46220</v>
      </c>
      <c r="C2756">
        <v>2.25</v>
      </c>
      <c r="D2756">
        <v>2.65</v>
      </c>
      <c r="E2756" s="4">
        <v>2.4</v>
      </c>
    </row>
    <row r="2757" spans="1:5" x14ac:dyDescent="0.35">
      <c r="A2757" s="1">
        <v>46221</v>
      </c>
      <c r="B2757" s="2">
        <v>46221</v>
      </c>
      <c r="C2757">
        <v>2.25</v>
      </c>
      <c r="D2757">
        <v>2.65</v>
      </c>
      <c r="E2757" s="4">
        <v>2.4</v>
      </c>
    </row>
    <row r="2758" spans="1:5" x14ac:dyDescent="0.35">
      <c r="A2758" s="1">
        <v>46222</v>
      </c>
      <c r="B2758" s="2">
        <v>46222</v>
      </c>
      <c r="C2758">
        <v>2.25</v>
      </c>
      <c r="D2758">
        <v>2.65</v>
      </c>
      <c r="E2758" s="4">
        <v>2.4</v>
      </c>
    </row>
    <row r="2759" spans="1:5" x14ac:dyDescent="0.35">
      <c r="A2759" s="1">
        <v>46223</v>
      </c>
      <c r="B2759" s="2">
        <v>46223</v>
      </c>
      <c r="C2759">
        <v>2.25</v>
      </c>
      <c r="D2759">
        <v>2.65</v>
      </c>
      <c r="E2759" s="4">
        <v>2.4</v>
      </c>
    </row>
    <row r="2760" spans="1:5" x14ac:dyDescent="0.35">
      <c r="A2760" s="1">
        <v>46224</v>
      </c>
      <c r="B2760" s="2">
        <v>46224</v>
      </c>
      <c r="C2760">
        <v>2.25</v>
      </c>
      <c r="D2760">
        <v>2.65</v>
      </c>
      <c r="E2760" s="4">
        <v>2.4</v>
      </c>
    </row>
    <row r="2761" spans="1:5" x14ac:dyDescent="0.35">
      <c r="A2761" s="1">
        <v>46225</v>
      </c>
      <c r="B2761" s="2">
        <v>46225</v>
      </c>
      <c r="C2761">
        <v>2.25</v>
      </c>
      <c r="D2761">
        <v>2.65</v>
      </c>
      <c r="E2761" s="4">
        <v>2.4</v>
      </c>
    </row>
    <row r="2762" spans="1:5" x14ac:dyDescent="0.35">
      <c r="A2762" s="1">
        <v>46226</v>
      </c>
      <c r="B2762" s="2">
        <v>46226</v>
      </c>
      <c r="C2762">
        <v>2.25</v>
      </c>
      <c r="D2762">
        <v>2.65</v>
      </c>
      <c r="E2762" s="4">
        <v>2.4</v>
      </c>
    </row>
    <row r="2763" spans="1:5" x14ac:dyDescent="0.35">
      <c r="A2763" s="1">
        <v>46227</v>
      </c>
      <c r="B2763" s="2">
        <v>46227</v>
      </c>
      <c r="C2763">
        <v>2.25</v>
      </c>
      <c r="D2763">
        <v>2.65</v>
      </c>
      <c r="E2763" s="4">
        <v>2.4</v>
      </c>
    </row>
    <row r="2764" spans="1:5" x14ac:dyDescent="0.35">
      <c r="A2764" s="1">
        <v>46228</v>
      </c>
      <c r="B2764" s="2">
        <v>46228</v>
      </c>
      <c r="C2764">
        <v>2.25</v>
      </c>
      <c r="D2764">
        <v>2.65</v>
      </c>
      <c r="E2764" s="4">
        <v>2.4</v>
      </c>
    </row>
    <row r="2765" spans="1:5" x14ac:dyDescent="0.35">
      <c r="A2765" s="1">
        <v>46229</v>
      </c>
      <c r="B2765" s="2">
        <v>46229</v>
      </c>
      <c r="C2765">
        <v>2.25</v>
      </c>
      <c r="D2765">
        <v>2.65</v>
      </c>
      <c r="E2765" s="4">
        <v>2.4</v>
      </c>
    </row>
    <row r="2766" spans="1:5" x14ac:dyDescent="0.35">
      <c r="A2766" s="1">
        <v>46230</v>
      </c>
      <c r="B2766" s="2">
        <v>46230</v>
      </c>
      <c r="C2766">
        <v>2.25</v>
      </c>
      <c r="D2766">
        <v>2.65</v>
      </c>
      <c r="E2766" s="4">
        <v>2.4</v>
      </c>
    </row>
    <row r="2767" spans="1:5" x14ac:dyDescent="0.35">
      <c r="A2767" s="1">
        <v>46231</v>
      </c>
      <c r="B2767" s="2">
        <v>46231</v>
      </c>
      <c r="C2767">
        <v>2.25</v>
      </c>
      <c r="D2767">
        <v>2.65</v>
      </c>
      <c r="E2767" s="4">
        <v>2.4</v>
      </c>
    </row>
    <row r="2768" spans="1:5" x14ac:dyDescent="0.35">
      <c r="A2768" s="1">
        <v>46232</v>
      </c>
      <c r="B2768" s="2">
        <v>46232</v>
      </c>
      <c r="C2768">
        <v>2.25</v>
      </c>
      <c r="D2768">
        <v>2.65</v>
      </c>
      <c r="E2768" s="4">
        <v>2.4</v>
      </c>
    </row>
    <row r="2769" spans="1:5" x14ac:dyDescent="0.35">
      <c r="A2769" s="1">
        <v>46233</v>
      </c>
      <c r="B2769" s="2">
        <v>46233</v>
      </c>
      <c r="C2769">
        <v>2.25</v>
      </c>
      <c r="D2769">
        <v>2.65</v>
      </c>
      <c r="E2769" s="4">
        <v>2.4</v>
      </c>
    </row>
    <row r="2770" spans="1:5" x14ac:dyDescent="0.35">
      <c r="A2770" s="1">
        <v>46234</v>
      </c>
      <c r="B2770" s="2">
        <v>46234</v>
      </c>
      <c r="C2770">
        <v>2.25</v>
      </c>
      <c r="D2770">
        <v>2.65</v>
      </c>
      <c r="E2770" s="4">
        <v>2.4</v>
      </c>
    </row>
    <row r="2771" spans="1:5" x14ac:dyDescent="0.35">
      <c r="A2771" s="1">
        <v>46235</v>
      </c>
      <c r="B2771" s="2">
        <v>46235</v>
      </c>
      <c r="C2771">
        <v>2.25</v>
      </c>
      <c r="D2771">
        <v>2.65</v>
      </c>
      <c r="E2771" s="4">
        <v>2.4</v>
      </c>
    </row>
    <row r="2772" spans="1:5" x14ac:dyDescent="0.35">
      <c r="A2772" s="1">
        <v>46236</v>
      </c>
      <c r="B2772" s="2">
        <v>46236</v>
      </c>
      <c r="C2772">
        <v>2.25</v>
      </c>
      <c r="D2772">
        <v>2.65</v>
      </c>
      <c r="E2772" s="4">
        <v>2.4</v>
      </c>
    </row>
    <row r="2773" spans="1:5" x14ac:dyDescent="0.35">
      <c r="A2773" s="1">
        <v>46237</v>
      </c>
      <c r="B2773" s="2">
        <v>46237</v>
      </c>
      <c r="C2773">
        <v>2.25</v>
      </c>
      <c r="D2773">
        <v>2.65</v>
      </c>
      <c r="E2773" s="4">
        <v>2.4</v>
      </c>
    </row>
    <row r="2774" spans="1:5" x14ac:dyDescent="0.35">
      <c r="A2774" s="1">
        <v>46238</v>
      </c>
      <c r="B2774" s="2">
        <v>46238</v>
      </c>
      <c r="C2774">
        <v>2.25</v>
      </c>
      <c r="D2774">
        <v>2.65</v>
      </c>
      <c r="E2774" s="4">
        <v>2.4</v>
      </c>
    </row>
    <row r="2775" spans="1:5" x14ac:dyDescent="0.35">
      <c r="A2775" s="1">
        <v>46239</v>
      </c>
      <c r="B2775" s="2">
        <v>46239</v>
      </c>
      <c r="C2775">
        <v>2.25</v>
      </c>
      <c r="D2775">
        <v>2.65</v>
      </c>
      <c r="E2775" s="4">
        <v>2.4</v>
      </c>
    </row>
    <row r="2776" spans="1:5" x14ac:dyDescent="0.35">
      <c r="A2776" s="1">
        <v>46240</v>
      </c>
      <c r="B2776" s="2">
        <v>46240</v>
      </c>
      <c r="C2776">
        <v>2.25</v>
      </c>
      <c r="D2776">
        <v>2.65</v>
      </c>
      <c r="E2776" s="4">
        <v>2.4</v>
      </c>
    </row>
    <row r="2777" spans="1:5" x14ac:dyDescent="0.35">
      <c r="A2777" s="1">
        <v>46241</v>
      </c>
      <c r="B2777" s="2">
        <v>46241</v>
      </c>
      <c r="C2777">
        <v>2.25</v>
      </c>
      <c r="D2777">
        <v>2.65</v>
      </c>
      <c r="E2777" s="4">
        <v>2.4</v>
      </c>
    </row>
    <row r="2778" spans="1:5" x14ac:dyDescent="0.35">
      <c r="A2778" s="1">
        <v>46242</v>
      </c>
      <c r="B2778" s="2">
        <v>46242</v>
      </c>
      <c r="C2778">
        <v>2.25</v>
      </c>
      <c r="D2778">
        <v>2.65</v>
      </c>
      <c r="E2778" s="4">
        <v>2.4</v>
      </c>
    </row>
    <row r="2779" spans="1:5" x14ac:dyDescent="0.35">
      <c r="A2779" s="1">
        <v>46243</v>
      </c>
      <c r="B2779" s="2">
        <v>46243</v>
      </c>
      <c r="C2779">
        <v>2.25</v>
      </c>
      <c r="D2779">
        <v>2.65</v>
      </c>
      <c r="E2779" s="4">
        <v>2.4</v>
      </c>
    </row>
    <row r="2780" spans="1:5" x14ac:dyDescent="0.35">
      <c r="A2780" s="1">
        <v>46244</v>
      </c>
      <c r="B2780" s="2">
        <v>46244</v>
      </c>
      <c r="C2780">
        <v>2.25</v>
      </c>
      <c r="D2780">
        <v>2.65</v>
      </c>
      <c r="E2780" s="4">
        <v>2.4</v>
      </c>
    </row>
    <row r="2781" spans="1:5" x14ac:dyDescent="0.35">
      <c r="A2781" s="1">
        <v>46245</v>
      </c>
      <c r="B2781" s="2">
        <v>46245</v>
      </c>
      <c r="C2781">
        <v>2.25</v>
      </c>
      <c r="D2781">
        <v>2.65</v>
      </c>
      <c r="E2781" s="4">
        <v>2.4</v>
      </c>
    </row>
    <row r="2782" spans="1:5" x14ac:dyDescent="0.35">
      <c r="A2782" s="1">
        <v>46246</v>
      </c>
      <c r="B2782" s="2">
        <v>46246</v>
      </c>
      <c r="C2782">
        <v>2.25</v>
      </c>
      <c r="D2782">
        <v>2.65</v>
      </c>
      <c r="E2782" s="4">
        <v>2.4</v>
      </c>
    </row>
    <row r="2783" spans="1:5" x14ac:dyDescent="0.35">
      <c r="A2783" s="1">
        <v>46247</v>
      </c>
      <c r="B2783" s="2">
        <v>46247</v>
      </c>
      <c r="C2783">
        <v>2.25</v>
      </c>
      <c r="D2783">
        <v>2.65</v>
      </c>
      <c r="E2783" s="4">
        <v>2.4</v>
      </c>
    </row>
    <row r="2784" spans="1:5" x14ac:dyDescent="0.35">
      <c r="A2784" s="1">
        <v>46248</v>
      </c>
      <c r="B2784" s="2">
        <v>46248</v>
      </c>
      <c r="C2784">
        <v>2.25</v>
      </c>
      <c r="D2784">
        <v>2.65</v>
      </c>
      <c r="E2784" s="4">
        <v>2.4</v>
      </c>
    </row>
    <row r="2785" spans="1:5" x14ac:dyDescent="0.35">
      <c r="A2785" s="1">
        <v>46249</v>
      </c>
      <c r="B2785" s="2">
        <v>46249</v>
      </c>
      <c r="C2785">
        <v>2.25</v>
      </c>
      <c r="D2785">
        <v>2.65</v>
      </c>
      <c r="E2785" s="4">
        <v>2.4</v>
      </c>
    </row>
    <row r="2786" spans="1:5" x14ac:dyDescent="0.35">
      <c r="A2786" s="1">
        <v>46250</v>
      </c>
      <c r="B2786" s="2">
        <v>46250</v>
      </c>
      <c r="C2786">
        <v>2.25</v>
      </c>
      <c r="D2786">
        <v>2.65</v>
      </c>
      <c r="E2786" s="4">
        <v>2.4</v>
      </c>
    </row>
    <row r="2787" spans="1:5" x14ac:dyDescent="0.35">
      <c r="A2787" s="1">
        <v>46251</v>
      </c>
      <c r="B2787" s="2">
        <v>46251</v>
      </c>
      <c r="C2787">
        <v>2.25</v>
      </c>
      <c r="D2787">
        <v>2.65</v>
      </c>
      <c r="E2787" s="4">
        <v>2.4</v>
      </c>
    </row>
    <row r="2788" spans="1:5" x14ac:dyDescent="0.35">
      <c r="A2788" s="1">
        <v>46252</v>
      </c>
      <c r="B2788" s="2">
        <v>46252</v>
      </c>
      <c r="C2788">
        <v>2.25</v>
      </c>
      <c r="D2788">
        <v>2.65</v>
      </c>
      <c r="E2788" s="4">
        <v>2.4</v>
      </c>
    </row>
    <row r="2789" spans="1:5" x14ac:dyDescent="0.35">
      <c r="A2789" s="1">
        <v>46253</v>
      </c>
      <c r="B2789" s="2">
        <v>46253</v>
      </c>
      <c r="C2789">
        <v>2.25</v>
      </c>
      <c r="D2789">
        <v>2.65</v>
      </c>
      <c r="E2789" s="4">
        <v>2.4</v>
      </c>
    </row>
    <row r="2790" spans="1:5" x14ac:dyDescent="0.35">
      <c r="A2790" s="1">
        <v>46254</v>
      </c>
      <c r="B2790" s="2">
        <v>46254</v>
      </c>
      <c r="C2790">
        <v>2.25</v>
      </c>
      <c r="D2790">
        <v>2.65</v>
      </c>
      <c r="E2790" s="4">
        <v>2.4</v>
      </c>
    </row>
    <row r="2791" spans="1:5" x14ac:dyDescent="0.35">
      <c r="A2791" s="1">
        <v>46255</v>
      </c>
      <c r="B2791" s="2">
        <v>46255</v>
      </c>
      <c r="C2791">
        <v>2.25</v>
      </c>
      <c r="D2791">
        <v>2.65</v>
      </c>
      <c r="E2791" s="4">
        <v>2.4</v>
      </c>
    </row>
    <row r="2792" spans="1:5" x14ac:dyDescent="0.35">
      <c r="A2792" s="1">
        <v>46256</v>
      </c>
      <c r="B2792" s="2">
        <v>46256</v>
      </c>
      <c r="C2792">
        <v>2.25</v>
      </c>
      <c r="D2792">
        <v>2.65</v>
      </c>
      <c r="E2792" s="4">
        <v>2.4</v>
      </c>
    </row>
    <row r="2793" spans="1:5" x14ac:dyDescent="0.35">
      <c r="A2793" s="1">
        <v>46257</v>
      </c>
      <c r="B2793" s="2">
        <v>46257</v>
      </c>
      <c r="C2793">
        <v>2.25</v>
      </c>
      <c r="D2793">
        <v>2.65</v>
      </c>
      <c r="E2793" s="4">
        <v>2.4</v>
      </c>
    </row>
    <row r="2794" spans="1:5" x14ac:dyDescent="0.35">
      <c r="A2794" s="1">
        <v>46258</v>
      </c>
      <c r="B2794" s="2">
        <v>46258</v>
      </c>
      <c r="C2794">
        <v>2.25</v>
      </c>
      <c r="D2794">
        <v>2.65</v>
      </c>
      <c r="E2794" s="4">
        <v>2.4</v>
      </c>
    </row>
    <row r="2795" spans="1:5" x14ac:dyDescent="0.35">
      <c r="A2795" s="1">
        <v>46259</v>
      </c>
      <c r="B2795" s="2">
        <v>46259</v>
      </c>
      <c r="C2795">
        <v>2.25</v>
      </c>
      <c r="D2795">
        <v>2.65</v>
      </c>
      <c r="E2795" s="4">
        <v>2.4</v>
      </c>
    </row>
    <row r="2796" spans="1:5" x14ac:dyDescent="0.35">
      <c r="A2796" s="1">
        <v>46260</v>
      </c>
      <c r="B2796" s="2">
        <v>46260</v>
      </c>
      <c r="C2796">
        <v>2.25</v>
      </c>
      <c r="D2796">
        <v>2.65</v>
      </c>
      <c r="E2796" s="4">
        <v>2.4</v>
      </c>
    </row>
    <row r="2797" spans="1:5" x14ac:dyDescent="0.35">
      <c r="A2797" s="1">
        <v>46261</v>
      </c>
      <c r="B2797" s="2">
        <v>46261</v>
      </c>
      <c r="C2797">
        <v>2.25</v>
      </c>
      <c r="D2797">
        <v>2.65</v>
      </c>
      <c r="E2797" s="4">
        <v>2.4</v>
      </c>
    </row>
    <row r="2798" spans="1:5" x14ac:dyDescent="0.35">
      <c r="A2798" s="1">
        <v>46262</v>
      </c>
      <c r="B2798" s="2">
        <v>46262</v>
      </c>
      <c r="C2798">
        <v>2.25</v>
      </c>
      <c r="D2798">
        <v>2.65</v>
      </c>
      <c r="E2798" s="4">
        <v>2.4</v>
      </c>
    </row>
    <row r="2799" spans="1:5" x14ac:dyDescent="0.35">
      <c r="A2799" s="1">
        <v>46263</v>
      </c>
      <c r="B2799" s="2">
        <v>46263</v>
      </c>
      <c r="C2799">
        <v>2.25</v>
      </c>
      <c r="D2799">
        <v>2.65</v>
      </c>
      <c r="E2799" s="4">
        <v>2.4</v>
      </c>
    </row>
    <row r="2800" spans="1:5" x14ac:dyDescent="0.35">
      <c r="A2800" s="1">
        <v>46264</v>
      </c>
      <c r="B2800" s="2">
        <v>46264</v>
      </c>
      <c r="C2800">
        <v>2.25</v>
      </c>
      <c r="D2800">
        <v>2.65</v>
      </c>
      <c r="E2800" s="4">
        <v>2.4</v>
      </c>
    </row>
    <row r="2801" spans="1:5" x14ac:dyDescent="0.35">
      <c r="A2801" s="1">
        <v>46265</v>
      </c>
      <c r="B2801" s="2">
        <v>46265</v>
      </c>
      <c r="C2801">
        <v>2.25</v>
      </c>
      <c r="D2801">
        <v>2.65</v>
      </c>
      <c r="E2801" s="4">
        <v>2.4</v>
      </c>
    </row>
    <row r="2802" spans="1:5" x14ac:dyDescent="0.35">
      <c r="A2802" s="1">
        <v>46266</v>
      </c>
      <c r="B2802" s="2">
        <v>46266</v>
      </c>
      <c r="C2802">
        <v>2.25</v>
      </c>
      <c r="D2802">
        <v>2.65</v>
      </c>
      <c r="E2802" s="4">
        <v>2.4</v>
      </c>
    </row>
    <row r="2803" spans="1:5" x14ac:dyDescent="0.35">
      <c r="A2803" s="1">
        <v>46267</v>
      </c>
      <c r="B2803" s="2">
        <v>46267</v>
      </c>
      <c r="C2803">
        <v>2.25</v>
      </c>
      <c r="D2803">
        <v>2.65</v>
      </c>
      <c r="E2803" s="4">
        <v>2.4</v>
      </c>
    </row>
    <row r="2804" spans="1:5" x14ac:dyDescent="0.35">
      <c r="A2804" s="1">
        <v>46268</v>
      </c>
      <c r="B2804" s="2">
        <v>46268</v>
      </c>
      <c r="C2804">
        <v>2.25</v>
      </c>
      <c r="D2804">
        <v>2.65</v>
      </c>
      <c r="E2804" s="4">
        <v>2.4</v>
      </c>
    </row>
    <row r="2805" spans="1:5" x14ac:dyDescent="0.35">
      <c r="A2805" s="1">
        <v>46269</v>
      </c>
      <c r="B2805" s="2">
        <v>46269</v>
      </c>
      <c r="C2805">
        <v>2.25</v>
      </c>
      <c r="D2805">
        <v>2.65</v>
      </c>
      <c r="E2805" s="4">
        <v>2.4</v>
      </c>
    </row>
    <row r="2806" spans="1:5" x14ac:dyDescent="0.35">
      <c r="A2806" s="1">
        <v>46270</v>
      </c>
      <c r="B2806" s="2">
        <v>46270</v>
      </c>
      <c r="C2806">
        <v>2.25</v>
      </c>
      <c r="D2806">
        <v>2.65</v>
      </c>
      <c r="E2806" s="4">
        <v>2.4</v>
      </c>
    </row>
    <row r="2807" spans="1:5" x14ac:dyDescent="0.35">
      <c r="A2807" s="1">
        <v>46271</v>
      </c>
      <c r="B2807" s="2">
        <v>46271</v>
      </c>
      <c r="C2807">
        <v>2.25</v>
      </c>
      <c r="D2807">
        <v>2.65</v>
      </c>
      <c r="E2807" s="4">
        <v>2.4</v>
      </c>
    </row>
    <row r="2808" spans="1:5" x14ac:dyDescent="0.35">
      <c r="A2808" s="1">
        <v>46272</v>
      </c>
      <c r="B2808" s="2">
        <v>46272</v>
      </c>
      <c r="C2808">
        <v>2.25</v>
      </c>
      <c r="D2808">
        <v>2.65</v>
      </c>
      <c r="E2808" s="4">
        <v>2.4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2754E-CD00-4AA3-AAC4-885763DA7AFA}">
  <sheetPr codeName="Sheet8"/>
  <dimension ref="A1:C92"/>
  <sheetViews>
    <sheetView workbookViewId="0">
      <selection activeCell="J13" sqref="J13"/>
    </sheetView>
  </sheetViews>
  <sheetFormatPr defaultColWidth="8.6328125" defaultRowHeight="14.5" x14ac:dyDescent="0.35"/>
  <cols>
    <col min="1" max="1" width="10.08984375" bestFit="1" customWidth="1"/>
    <col min="2" max="2" width="13.453125" customWidth="1"/>
    <col min="3" max="3" width="79.7265625" bestFit="1" customWidth="1"/>
  </cols>
  <sheetData>
    <row r="1" spans="1:3" x14ac:dyDescent="0.35">
      <c r="A1" t="s">
        <v>0</v>
      </c>
      <c r="B1" t="s">
        <v>1</v>
      </c>
      <c r="C1" t="s">
        <v>98</v>
      </c>
    </row>
    <row r="2" spans="1:3" x14ac:dyDescent="0.35">
      <c r="A2" s="1">
        <v>43496</v>
      </c>
      <c r="B2" t="s">
        <v>6</v>
      </c>
      <c r="C2">
        <v>1.17</v>
      </c>
    </row>
    <row r="3" spans="1:3" x14ac:dyDescent="0.35">
      <c r="A3" s="1">
        <v>43524</v>
      </c>
      <c r="B3" t="s">
        <v>7</v>
      </c>
      <c r="C3">
        <v>1.18</v>
      </c>
    </row>
    <row r="4" spans="1:3" x14ac:dyDescent="0.35">
      <c r="A4" s="1">
        <v>43555</v>
      </c>
      <c r="B4" t="s">
        <v>8</v>
      </c>
      <c r="C4">
        <v>1.24</v>
      </c>
    </row>
    <row r="5" spans="1:3" x14ac:dyDescent="0.35">
      <c r="A5" s="1">
        <v>43585</v>
      </c>
      <c r="B5" t="s">
        <v>9</v>
      </c>
      <c r="C5">
        <v>1.1499999999999999</v>
      </c>
    </row>
    <row r="6" spans="1:3" x14ac:dyDescent="0.35">
      <c r="A6" s="1">
        <v>43616</v>
      </c>
      <c r="B6" t="s">
        <v>10</v>
      </c>
      <c r="C6">
        <v>1.1299999999999999</v>
      </c>
    </row>
    <row r="7" spans="1:3" x14ac:dyDescent="0.35">
      <c r="A7" s="1">
        <v>43646</v>
      </c>
      <c r="B7" t="s">
        <v>11</v>
      </c>
      <c r="C7">
        <v>1.1399999999999999</v>
      </c>
    </row>
    <row r="8" spans="1:3" x14ac:dyDescent="0.35">
      <c r="A8" s="1">
        <v>43677</v>
      </c>
      <c r="B8" t="s">
        <v>12</v>
      </c>
      <c r="C8">
        <v>1.1399999999999999</v>
      </c>
    </row>
    <row r="9" spans="1:3" x14ac:dyDescent="0.35">
      <c r="A9" s="1">
        <v>43708</v>
      </c>
      <c r="B9" t="s">
        <v>13</v>
      </c>
      <c r="C9">
        <v>1.06</v>
      </c>
    </row>
    <row r="10" spans="1:3" x14ac:dyDescent="0.35">
      <c r="A10" s="1">
        <v>43738</v>
      </c>
      <c r="B10" t="s">
        <v>14</v>
      </c>
      <c r="C10">
        <v>1.1399999999999999</v>
      </c>
    </row>
    <row r="11" spans="1:3" x14ac:dyDescent="0.35">
      <c r="A11" s="1">
        <v>43769</v>
      </c>
      <c r="B11" t="s">
        <v>15</v>
      </c>
      <c r="C11">
        <v>1.18</v>
      </c>
    </row>
    <row r="12" spans="1:3" x14ac:dyDescent="0.35">
      <c r="A12" s="1">
        <v>43799</v>
      </c>
      <c r="B12" t="s">
        <v>16</v>
      </c>
      <c r="C12">
        <v>1.25</v>
      </c>
    </row>
    <row r="13" spans="1:3" x14ac:dyDescent="0.35">
      <c r="A13" s="1">
        <v>43830</v>
      </c>
      <c r="B13" t="s">
        <v>17</v>
      </c>
      <c r="C13">
        <v>1.25</v>
      </c>
    </row>
    <row r="14" spans="1:3" x14ac:dyDescent="0.35">
      <c r="A14" s="1">
        <v>43861</v>
      </c>
      <c r="B14" t="s">
        <v>18</v>
      </c>
      <c r="C14">
        <v>1.19</v>
      </c>
    </row>
    <row r="15" spans="1:3" x14ac:dyDescent="0.35">
      <c r="A15" s="1">
        <v>43890</v>
      </c>
      <c r="B15" t="s">
        <v>19</v>
      </c>
      <c r="C15">
        <v>1.1299999999999999</v>
      </c>
    </row>
    <row r="16" spans="1:3" x14ac:dyDescent="0.35">
      <c r="A16" s="1">
        <v>43921</v>
      </c>
      <c r="B16" t="s">
        <v>20</v>
      </c>
      <c r="C16">
        <v>1.1200000000000001</v>
      </c>
    </row>
    <row r="17" spans="1:3" x14ac:dyDescent="0.35">
      <c r="A17" s="1">
        <v>43951</v>
      </c>
      <c r="B17" t="s">
        <v>21</v>
      </c>
      <c r="C17">
        <v>1.27</v>
      </c>
    </row>
    <row r="18" spans="1:3" x14ac:dyDescent="0.35">
      <c r="A18" s="1">
        <v>43982</v>
      </c>
      <c r="B18" t="s">
        <v>22</v>
      </c>
      <c r="C18">
        <v>1.33</v>
      </c>
    </row>
    <row r="19" spans="1:3" x14ac:dyDescent="0.35">
      <c r="A19" s="1">
        <v>44012</v>
      </c>
      <c r="B19" t="s">
        <v>23</v>
      </c>
      <c r="C19">
        <v>1.32</v>
      </c>
    </row>
    <row r="20" spans="1:3" x14ac:dyDescent="0.35">
      <c r="A20" s="1">
        <v>44043</v>
      </c>
      <c r="B20" t="s">
        <v>24</v>
      </c>
      <c r="C20">
        <v>1.43</v>
      </c>
    </row>
    <row r="21" spans="1:3" x14ac:dyDescent="0.35">
      <c r="A21" s="1">
        <v>44074</v>
      </c>
      <c r="B21" t="s">
        <v>25</v>
      </c>
      <c r="C21">
        <v>1.58</v>
      </c>
    </row>
    <row r="22" spans="1:3" x14ac:dyDescent="0.35">
      <c r="A22" s="1">
        <v>44104</v>
      </c>
      <c r="B22" t="s">
        <v>26</v>
      </c>
      <c r="C22">
        <v>1.31</v>
      </c>
    </row>
    <row r="23" spans="1:3" x14ac:dyDescent="0.35">
      <c r="A23" s="1">
        <v>44135</v>
      </c>
      <c r="B23" t="s">
        <v>27</v>
      </c>
      <c r="C23">
        <v>1.37</v>
      </c>
    </row>
    <row r="24" spans="1:3" x14ac:dyDescent="0.35">
      <c r="A24" s="1">
        <v>44165</v>
      </c>
      <c r="B24" t="s">
        <v>28</v>
      </c>
      <c r="C24">
        <v>1.38</v>
      </c>
    </row>
    <row r="25" spans="1:3" x14ac:dyDescent="0.35">
      <c r="A25" s="1">
        <v>44196</v>
      </c>
      <c r="B25" t="s">
        <v>29</v>
      </c>
      <c r="C25">
        <v>1.31</v>
      </c>
    </row>
    <row r="26" spans="1:3" x14ac:dyDescent="0.35">
      <c r="A26" s="1">
        <v>44227</v>
      </c>
      <c r="B26" t="s">
        <v>30</v>
      </c>
      <c r="C26">
        <v>1.29</v>
      </c>
    </row>
    <row r="27" spans="1:3" x14ac:dyDescent="0.35">
      <c r="A27" s="1">
        <v>44255</v>
      </c>
      <c r="B27" t="s">
        <v>31</v>
      </c>
      <c r="C27">
        <v>1.3</v>
      </c>
    </row>
    <row r="28" spans="1:3" x14ac:dyDescent="0.35">
      <c r="A28" s="1">
        <v>44286</v>
      </c>
      <c r="B28" t="s">
        <v>32</v>
      </c>
      <c r="C28">
        <v>0.94</v>
      </c>
    </row>
    <row r="29" spans="1:3" x14ac:dyDescent="0.35">
      <c r="A29" s="1">
        <v>44316</v>
      </c>
      <c r="B29" t="s">
        <v>33</v>
      </c>
      <c r="C29">
        <v>1.5</v>
      </c>
    </row>
    <row r="30" spans="1:3" x14ac:dyDescent="0.35">
      <c r="A30" s="1">
        <v>44347</v>
      </c>
      <c r="B30" t="s">
        <v>34</v>
      </c>
      <c r="C30">
        <v>1.25</v>
      </c>
    </row>
    <row r="31" spans="1:3" x14ac:dyDescent="0.35">
      <c r="A31" s="1">
        <v>44377</v>
      </c>
      <c r="B31" t="s">
        <v>35</v>
      </c>
      <c r="C31">
        <v>1.27</v>
      </c>
    </row>
    <row r="32" spans="1:3" x14ac:dyDescent="0.35">
      <c r="A32" s="1">
        <v>44408</v>
      </c>
      <c r="B32" t="s">
        <v>36</v>
      </c>
      <c r="C32">
        <v>1.32</v>
      </c>
    </row>
    <row r="33" spans="1:3" x14ac:dyDescent="0.35">
      <c r="A33" s="1">
        <v>44439</v>
      </c>
      <c r="B33" t="s">
        <v>37</v>
      </c>
      <c r="C33">
        <v>1.23</v>
      </c>
    </row>
    <row r="34" spans="1:3" x14ac:dyDescent="0.35">
      <c r="A34" s="1">
        <v>44469</v>
      </c>
      <c r="B34" t="s">
        <v>38</v>
      </c>
      <c r="C34">
        <v>1.38</v>
      </c>
    </row>
    <row r="35" spans="1:3" x14ac:dyDescent="0.35">
      <c r="A35" s="1">
        <v>44500</v>
      </c>
      <c r="B35" t="s">
        <v>39</v>
      </c>
      <c r="C35">
        <v>1.1599999999999999</v>
      </c>
    </row>
    <row r="36" spans="1:3" x14ac:dyDescent="0.35">
      <c r="A36" s="1">
        <v>44530</v>
      </c>
      <c r="B36" t="s">
        <v>40</v>
      </c>
      <c r="C36">
        <v>1.1299999999999999</v>
      </c>
    </row>
    <row r="37" spans="1:3" x14ac:dyDescent="0.35">
      <c r="A37" s="1">
        <v>44561</v>
      </c>
      <c r="B37" t="s">
        <v>41</v>
      </c>
      <c r="C37">
        <v>1.1499999999999999</v>
      </c>
    </row>
    <row r="38" spans="1:3" x14ac:dyDescent="0.35">
      <c r="A38" s="1">
        <v>44592</v>
      </c>
      <c r="B38" t="s">
        <v>42</v>
      </c>
      <c r="C38">
        <v>1.3</v>
      </c>
    </row>
    <row r="39" spans="1:3" x14ac:dyDescent="0.35">
      <c r="A39" s="1">
        <v>44620</v>
      </c>
      <c r="B39" t="s">
        <v>43</v>
      </c>
      <c r="C39">
        <v>1.36</v>
      </c>
    </row>
    <row r="40" spans="1:3" x14ac:dyDescent="0.35">
      <c r="A40" s="1">
        <v>44651</v>
      </c>
      <c r="B40" t="s">
        <v>44</v>
      </c>
      <c r="C40">
        <v>1.55</v>
      </c>
    </row>
    <row r="41" spans="1:3" x14ac:dyDescent="0.35">
      <c r="A41" s="1">
        <v>44681</v>
      </c>
      <c r="B41" t="s">
        <v>45</v>
      </c>
      <c r="C41">
        <v>1.53</v>
      </c>
    </row>
    <row r="42" spans="1:3" x14ac:dyDescent="0.35">
      <c r="A42" s="1">
        <v>44712</v>
      </c>
      <c r="B42" t="s">
        <v>46</v>
      </c>
      <c r="C42">
        <v>1.41</v>
      </c>
    </row>
    <row r="43" spans="1:3" x14ac:dyDescent="0.35">
      <c r="A43" s="1">
        <v>44742</v>
      </c>
      <c r="B43" t="s">
        <v>47</v>
      </c>
      <c r="C43">
        <v>2.37</v>
      </c>
    </row>
    <row r="44" spans="1:3" x14ac:dyDescent="0.35">
      <c r="A44" s="1">
        <v>44773</v>
      </c>
      <c r="B44" t="s">
        <v>48</v>
      </c>
      <c r="C44">
        <v>1.94</v>
      </c>
    </row>
    <row r="45" spans="1:3" x14ac:dyDescent="0.35">
      <c r="A45" s="1">
        <v>44804</v>
      </c>
      <c r="B45" t="s">
        <v>49</v>
      </c>
      <c r="C45">
        <v>2.1</v>
      </c>
    </row>
    <row r="46" spans="1:3" x14ac:dyDescent="0.35">
      <c r="A46" s="1">
        <v>44834</v>
      </c>
      <c r="B46" t="s">
        <v>50</v>
      </c>
      <c r="C46">
        <v>2.85</v>
      </c>
    </row>
    <row r="47" spans="1:3" x14ac:dyDescent="0.35">
      <c r="A47" s="1">
        <v>44865</v>
      </c>
      <c r="B47" t="s">
        <v>51</v>
      </c>
      <c r="C47">
        <v>2.97</v>
      </c>
    </row>
    <row r="48" spans="1:3" x14ac:dyDescent="0.35">
      <c r="A48" s="1">
        <v>44895</v>
      </c>
      <c r="B48" t="s">
        <v>52</v>
      </c>
      <c r="C48">
        <v>3.14</v>
      </c>
    </row>
    <row r="49" spans="1:3" x14ac:dyDescent="0.35">
      <c r="A49" s="1">
        <v>44926</v>
      </c>
      <c r="B49" t="s">
        <v>53</v>
      </c>
      <c r="C49">
        <v>3.46</v>
      </c>
    </row>
    <row r="50" spans="1:3" x14ac:dyDescent="0.35">
      <c r="A50" s="1">
        <v>44957</v>
      </c>
      <c r="B50" t="s">
        <v>54</v>
      </c>
      <c r="C50">
        <v>3.56</v>
      </c>
    </row>
    <row r="51" spans="1:3" x14ac:dyDescent="0.35">
      <c r="A51" s="1">
        <v>44985</v>
      </c>
      <c r="B51" t="s">
        <v>55</v>
      </c>
      <c r="C51">
        <v>3.89</v>
      </c>
    </row>
    <row r="52" spans="1:3" x14ac:dyDescent="0.35">
      <c r="A52" s="1">
        <v>45016</v>
      </c>
      <c r="B52" t="s">
        <v>56</v>
      </c>
      <c r="C52">
        <v>4.43</v>
      </c>
    </row>
    <row r="53" spans="1:3" x14ac:dyDescent="0.35">
      <c r="A53" s="1">
        <v>45046</v>
      </c>
      <c r="B53" t="s">
        <v>57</v>
      </c>
      <c r="C53">
        <v>4.4400000000000004</v>
      </c>
    </row>
    <row r="54" spans="1:3" x14ac:dyDescent="0.35">
      <c r="A54" s="1">
        <v>45077</v>
      </c>
      <c r="B54" t="s">
        <v>58</v>
      </c>
      <c r="C54">
        <v>4.66</v>
      </c>
    </row>
    <row r="55" spans="1:3" x14ac:dyDescent="0.35">
      <c r="A55" s="1">
        <v>45107</v>
      </c>
      <c r="B55" t="s">
        <v>59</v>
      </c>
      <c r="C55">
        <v>4.87</v>
      </c>
    </row>
    <row r="56" spans="1:3" x14ac:dyDescent="0.35">
      <c r="A56" s="1">
        <v>45138</v>
      </c>
      <c r="B56" t="s">
        <v>60</v>
      </c>
      <c r="C56">
        <v>5.15</v>
      </c>
    </row>
    <row r="57" spans="1:3" x14ac:dyDescent="0.35">
      <c r="A57" s="1">
        <v>45169</v>
      </c>
      <c r="B57" t="s">
        <v>61</v>
      </c>
      <c r="C57">
        <v>5.09</v>
      </c>
    </row>
    <row r="58" spans="1:3" x14ac:dyDescent="0.35">
      <c r="A58" s="1">
        <v>45199</v>
      </c>
      <c r="B58" t="s">
        <v>62</v>
      </c>
      <c r="C58">
        <v>5.09</v>
      </c>
    </row>
    <row r="59" spans="1:3" x14ac:dyDescent="0.35">
      <c r="A59" s="1">
        <v>45230</v>
      </c>
      <c r="B59" t="s">
        <v>63</v>
      </c>
      <c r="C59">
        <v>5.45</v>
      </c>
    </row>
    <row r="60" spans="1:3" x14ac:dyDescent="0.35">
      <c r="A60" s="1">
        <v>45260</v>
      </c>
      <c r="B60" t="s">
        <v>64</v>
      </c>
      <c r="C60">
        <v>5.13</v>
      </c>
    </row>
    <row r="61" spans="1:3" x14ac:dyDescent="0.35">
      <c r="A61" s="1">
        <v>45291</v>
      </c>
      <c r="B61" t="s">
        <v>65</v>
      </c>
      <c r="C61">
        <v>5.13</v>
      </c>
    </row>
    <row r="62" spans="1:3" x14ac:dyDescent="0.35">
      <c r="A62" s="1">
        <v>45322</v>
      </c>
      <c r="B62" t="s">
        <v>66</v>
      </c>
      <c r="C62">
        <v>5.07</v>
      </c>
    </row>
    <row r="63" spans="1:3" x14ac:dyDescent="0.35">
      <c r="A63" s="1">
        <v>45351</v>
      </c>
      <c r="B63" t="s">
        <v>67</v>
      </c>
      <c r="C63">
        <v>4.95</v>
      </c>
    </row>
    <row r="64" spans="1:3" x14ac:dyDescent="0.35">
      <c r="A64" s="1">
        <v>45382</v>
      </c>
      <c r="B64" t="s">
        <v>68</v>
      </c>
      <c r="C64">
        <v>5.1100000000000003</v>
      </c>
    </row>
    <row r="65" spans="1:3" x14ac:dyDescent="0.35">
      <c r="A65" s="1">
        <v>45412</v>
      </c>
      <c r="B65" t="s">
        <v>69</v>
      </c>
      <c r="C65">
        <v>5.13</v>
      </c>
    </row>
    <row r="66" spans="1:3" x14ac:dyDescent="0.35">
      <c r="A66" s="1">
        <v>45443</v>
      </c>
      <c r="B66" t="s">
        <v>70</v>
      </c>
      <c r="C66">
        <v>5.04</v>
      </c>
    </row>
    <row r="67" spans="1:3" x14ac:dyDescent="0.35">
      <c r="A67" s="1">
        <v>45473</v>
      </c>
      <c r="B67" t="s">
        <v>71</v>
      </c>
      <c r="C67">
        <v>5.03</v>
      </c>
    </row>
    <row r="68" spans="1:3" x14ac:dyDescent="0.35">
      <c r="A68" s="1">
        <v>45504</v>
      </c>
      <c r="B68" t="s">
        <v>72</v>
      </c>
      <c r="C68">
        <v>4.93</v>
      </c>
    </row>
    <row r="69" spans="1:3" x14ac:dyDescent="0.35">
      <c r="A69" s="1">
        <v>45535</v>
      </c>
      <c r="B69" t="s">
        <v>73</v>
      </c>
      <c r="C69">
        <v>5.03</v>
      </c>
    </row>
    <row r="70" spans="1:3" x14ac:dyDescent="0.35">
      <c r="A70" s="1">
        <v>45565</v>
      </c>
      <c r="B70" t="s">
        <v>74</v>
      </c>
      <c r="C70">
        <v>4.6100000000000003</v>
      </c>
    </row>
    <row r="71" spans="1:3" x14ac:dyDescent="0.35">
      <c r="A71" s="1">
        <v>45596</v>
      </c>
      <c r="B71" t="s">
        <v>75</v>
      </c>
      <c r="C71">
        <v>4.63</v>
      </c>
    </row>
    <row r="72" spans="1:3" x14ac:dyDescent="0.35">
      <c r="A72" s="1">
        <v>45626</v>
      </c>
      <c r="B72" t="s">
        <v>76</v>
      </c>
      <c r="C72">
        <v>4.3899999999999997</v>
      </c>
    </row>
    <row r="73" spans="1:3" x14ac:dyDescent="0.35">
      <c r="A73" s="1">
        <v>45657</v>
      </c>
      <c r="B73" t="s">
        <v>77</v>
      </c>
      <c r="C73">
        <v>4.24</v>
      </c>
    </row>
    <row r="74" spans="1:3" x14ac:dyDescent="0.35">
      <c r="A74" s="1">
        <v>45688</v>
      </c>
      <c r="B74" t="s">
        <v>78</v>
      </c>
      <c r="C74">
        <v>4.24</v>
      </c>
    </row>
    <row r="75" spans="1:3" x14ac:dyDescent="0.35">
      <c r="A75" s="1">
        <v>45716</v>
      </c>
      <c r="B75" t="s">
        <v>79</v>
      </c>
      <c r="C75">
        <v>4.09</v>
      </c>
    </row>
    <row r="76" spans="1:3" x14ac:dyDescent="0.35">
      <c r="A76" s="1">
        <v>45747</v>
      </c>
      <c r="B76" t="s">
        <v>80</v>
      </c>
      <c r="C76">
        <v>3.66</v>
      </c>
    </row>
    <row r="77" spans="1:3" x14ac:dyDescent="0.35">
      <c r="A77" s="1">
        <v>45777</v>
      </c>
      <c r="B77" t="s">
        <v>81</v>
      </c>
      <c r="C77">
        <v>3.57</v>
      </c>
    </row>
    <row r="78" spans="1:3" x14ac:dyDescent="0.35">
      <c r="A78" s="1">
        <v>45808</v>
      </c>
      <c r="B78" t="s">
        <v>82</v>
      </c>
      <c r="C78">
        <v>3.39</v>
      </c>
    </row>
    <row r="79" spans="1:3" x14ac:dyDescent="0.35">
      <c r="A79" s="1">
        <v>45838</v>
      </c>
      <c r="B79" t="s">
        <v>83</v>
      </c>
      <c r="C79">
        <v>3.42</v>
      </c>
    </row>
    <row r="80" spans="1:3" x14ac:dyDescent="0.35">
      <c r="A80" s="1">
        <v>45869</v>
      </c>
      <c r="B80" t="s">
        <v>84</v>
      </c>
      <c r="C80">
        <v>3.27</v>
      </c>
    </row>
    <row r="81" spans="1:3" x14ac:dyDescent="0.35">
      <c r="A81" s="1">
        <v>45900</v>
      </c>
      <c r="B81" t="s">
        <v>85</v>
      </c>
      <c r="C81">
        <v>3.13</v>
      </c>
    </row>
    <row r="82" spans="1:3" x14ac:dyDescent="0.35">
      <c r="A82" s="1">
        <v>45930</v>
      </c>
      <c r="B82" t="s">
        <v>86</v>
      </c>
      <c r="C82">
        <v>3.23</v>
      </c>
    </row>
    <row r="83" spans="1:3" x14ac:dyDescent="0.35">
      <c r="A83" s="1">
        <v>45961</v>
      </c>
      <c r="B83" t="s">
        <v>87</v>
      </c>
      <c r="C83">
        <v>3.25</v>
      </c>
    </row>
    <row r="84" spans="1:3" x14ac:dyDescent="0.35">
      <c r="A84" s="1">
        <v>45991</v>
      </c>
      <c r="B84" t="s">
        <v>88</v>
      </c>
      <c r="C84">
        <v>3.26</v>
      </c>
    </row>
    <row r="85" spans="1:3" x14ac:dyDescent="0.35">
      <c r="A85" s="1">
        <v>46022</v>
      </c>
      <c r="B85" t="s">
        <v>89</v>
      </c>
      <c r="C85">
        <v>3.45</v>
      </c>
    </row>
    <row r="86" spans="1:3" x14ac:dyDescent="0.35">
      <c r="A86" s="1">
        <v>46053</v>
      </c>
      <c r="B86" t="s">
        <v>90</v>
      </c>
      <c r="C86">
        <v>3.39</v>
      </c>
    </row>
    <row r="87" spans="1:3" x14ac:dyDescent="0.35">
      <c r="A87" s="1">
        <v>46081</v>
      </c>
      <c r="B87" t="s">
        <v>91</v>
      </c>
      <c r="C87">
        <v>3.28</v>
      </c>
    </row>
    <row r="88" spans="1:3" x14ac:dyDescent="0.35">
      <c r="A88" s="1">
        <v>46112</v>
      </c>
      <c r="B88" t="s">
        <v>92</v>
      </c>
      <c r="C88">
        <v>3.5</v>
      </c>
    </row>
    <row r="89" spans="1:3" x14ac:dyDescent="0.35">
      <c r="A89" s="1">
        <v>46142</v>
      </c>
      <c r="B89" t="s">
        <v>93</v>
      </c>
      <c r="C89">
        <v>3.48</v>
      </c>
    </row>
    <row r="90" spans="1:3" x14ac:dyDescent="0.35">
      <c r="A90" s="1">
        <v>46173</v>
      </c>
      <c r="B90" t="s">
        <v>94</v>
      </c>
      <c r="C90">
        <v>3.4</v>
      </c>
    </row>
    <row r="91" spans="1:3" x14ac:dyDescent="0.35">
      <c r="A91" s="1">
        <v>46203</v>
      </c>
      <c r="B91" t="s">
        <v>95</v>
      </c>
      <c r="C91">
        <v>3.72</v>
      </c>
    </row>
    <row r="92" spans="1:3" x14ac:dyDescent="0.35">
      <c r="A92" s="1">
        <v>46234</v>
      </c>
      <c r="B92" t="s">
        <v>96</v>
      </c>
      <c r="C92">
        <v>3.69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8E0CA-E11B-4409-9FE4-0B6B78912D79}">
  <sheetPr codeName="Sheet9"/>
  <dimension ref="A1:C92"/>
  <sheetViews>
    <sheetView workbookViewId="0">
      <selection activeCell="F16" sqref="F16"/>
    </sheetView>
  </sheetViews>
  <sheetFormatPr defaultRowHeight="14.5" x14ac:dyDescent="0.35"/>
  <cols>
    <col min="1" max="1" width="10.08984375" bestFit="1" customWidth="1"/>
    <col min="2" max="2" width="13.453125" customWidth="1"/>
    <col min="3" max="3" width="46.7265625" customWidth="1"/>
  </cols>
  <sheetData>
    <row r="1" spans="1:3" x14ac:dyDescent="0.35">
      <c r="A1" t="s">
        <v>0</v>
      </c>
      <c r="B1" t="s">
        <v>1</v>
      </c>
      <c r="C1" t="s">
        <v>97</v>
      </c>
    </row>
    <row r="2" spans="1:3" x14ac:dyDescent="0.35">
      <c r="A2" s="1">
        <v>43496</v>
      </c>
      <c r="B2" t="s">
        <v>6</v>
      </c>
      <c r="C2">
        <v>1049513</v>
      </c>
    </row>
    <row r="3" spans="1:3" x14ac:dyDescent="0.35">
      <c r="A3" s="1">
        <v>43524</v>
      </c>
      <c r="B3" t="s">
        <v>7</v>
      </c>
      <c r="C3">
        <v>1057887</v>
      </c>
    </row>
    <row r="4" spans="1:3" x14ac:dyDescent="0.35">
      <c r="A4" s="1">
        <v>43555</v>
      </c>
      <c r="B4" t="s">
        <v>8</v>
      </c>
      <c r="C4">
        <v>1065117</v>
      </c>
    </row>
    <row r="5" spans="1:3" x14ac:dyDescent="0.35">
      <c r="A5" s="1">
        <v>43585</v>
      </c>
      <c r="B5" t="s">
        <v>9</v>
      </c>
      <c r="C5">
        <v>1070264</v>
      </c>
    </row>
    <row r="6" spans="1:3" x14ac:dyDescent="0.35">
      <c r="A6" s="1">
        <v>43616</v>
      </c>
      <c r="B6" t="s">
        <v>10</v>
      </c>
      <c r="C6">
        <v>1081484</v>
      </c>
    </row>
    <row r="7" spans="1:3" x14ac:dyDescent="0.35">
      <c r="A7" s="1">
        <v>43646</v>
      </c>
      <c r="B7" t="s">
        <v>11</v>
      </c>
      <c r="C7">
        <v>1090351</v>
      </c>
    </row>
    <row r="8" spans="1:3" x14ac:dyDescent="0.35">
      <c r="A8" s="1">
        <v>43677</v>
      </c>
      <c r="B8" t="s">
        <v>12</v>
      </c>
      <c r="C8">
        <v>1091139</v>
      </c>
    </row>
    <row r="9" spans="1:3" x14ac:dyDescent="0.35">
      <c r="A9" s="1">
        <v>43708</v>
      </c>
      <c r="B9" t="s">
        <v>13</v>
      </c>
      <c r="C9">
        <v>1096648</v>
      </c>
    </row>
    <row r="10" spans="1:3" x14ac:dyDescent="0.35">
      <c r="A10" s="1">
        <v>43738</v>
      </c>
      <c r="B10" t="s">
        <v>14</v>
      </c>
      <c r="C10">
        <v>1099876</v>
      </c>
    </row>
    <row r="11" spans="1:3" x14ac:dyDescent="0.35">
      <c r="A11" s="1">
        <v>43769</v>
      </c>
      <c r="B11" t="s">
        <v>15</v>
      </c>
      <c r="C11">
        <v>1101812</v>
      </c>
    </row>
    <row r="12" spans="1:3" x14ac:dyDescent="0.35">
      <c r="A12" s="1">
        <v>43799</v>
      </c>
      <c r="B12" t="s">
        <v>16</v>
      </c>
      <c r="C12">
        <v>1110423</v>
      </c>
    </row>
    <row r="13" spans="1:3" x14ac:dyDescent="0.35">
      <c r="A13" s="1">
        <v>43830</v>
      </c>
      <c r="B13" t="s">
        <v>17</v>
      </c>
      <c r="C13">
        <v>1105549</v>
      </c>
    </row>
    <row r="14" spans="1:3" x14ac:dyDescent="0.35">
      <c r="A14" s="1">
        <v>43861</v>
      </c>
      <c r="B14" t="s">
        <v>18</v>
      </c>
      <c r="C14">
        <v>1106828</v>
      </c>
    </row>
    <row r="15" spans="1:3" x14ac:dyDescent="0.35">
      <c r="A15" s="1">
        <v>43890</v>
      </c>
      <c r="B15" t="s">
        <v>19</v>
      </c>
      <c r="C15">
        <v>1114542</v>
      </c>
    </row>
    <row r="16" spans="1:3" x14ac:dyDescent="0.35">
      <c r="A16" s="1">
        <v>43921</v>
      </c>
      <c r="B16" t="s">
        <v>20</v>
      </c>
      <c r="C16">
        <v>1137604</v>
      </c>
    </row>
    <row r="17" spans="1:3" x14ac:dyDescent="0.35">
      <c r="A17" s="1">
        <v>43951</v>
      </c>
      <c r="B17" t="s">
        <v>21</v>
      </c>
      <c r="C17">
        <v>1150026</v>
      </c>
    </row>
    <row r="18" spans="1:3" x14ac:dyDescent="0.35">
      <c r="A18" s="1">
        <v>43982</v>
      </c>
      <c r="B18" t="s">
        <v>22</v>
      </c>
      <c r="C18">
        <v>1159576</v>
      </c>
    </row>
    <row r="19" spans="1:3" x14ac:dyDescent="0.35">
      <c r="A19" s="1">
        <v>44012</v>
      </c>
      <c r="B19" t="s">
        <v>23</v>
      </c>
      <c r="C19">
        <v>1156499</v>
      </c>
    </row>
    <row r="20" spans="1:3" x14ac:dyDescent="0.35">
      <c r="A20" s="1">
        <v>44043</v>
      </c>
      <c r="B20" t="s">
        <v>24</v>
      </c>
      <c r="C20">
        <v>1156046</v>
      </c>
    </row>
    <row r="21" spans="1:3" x14ac:dyDescent="0.35">
      <c r="A21" s="1">
        <v>44074</v>
      </c>
      <c r="B21" t="s">
        <v>25</v>
      </c>
      <c r="C21">
        <v>1162103</v>
      </c>
    </row>
    <row r="22" spans="1:3" x14ac:dyDescent="0.35">
      <c r="A22" s="1">
        <v>44104</v>
      </c>
      <c r="B22" t="s">
        <v>26</v>
      </c>
      <c r="C22">
        <v>1149868</v>
      </c>
    </row>
    <row r="23" spans="1:3" x14ac:dyDescent="0.35">
      <c r="A23" s="1">
        <v>44135</v>
      </c>
      <c r="B23" t="s">
        <v>27</v>
      </c>
      <c r="C23">
        <v>1153142</v>
      </c>
    </row>
    <row r="24" spans="1:3" x14ac:dyDescent="0.35">
      <c r="A24" s="1">
        <v>44165</v>
      </c>
      <c r="B24" t="s">
        <v>28</v>
      </c>
      <c r="C24">
        <v>1154178</v>
      </c>
    </row>
    <row r="25" spans="1:3" x14ac:dyDescent="0.35">
      <c r="A25" s="1">
        <v>44196</v>
      </c>
      <c r="B25" t="s">
        <v>29</v>
      </c>
      <c r="C25">
        <v>1150728</v>
      </c>
    </row>
    <row r="26" spans="1:3" x14ac:dyDescent="0.35">
      <c r="A26" s="1">
        <v>44227</v>
      </c>
      <c r="B26" t="s">
        <v>30</v>
      </c>
      <c r="C26">
        <v>1153371</v>
      </c>
    </row>
    <row r="27" spans="1:3" x14ac:dyDescent="0.35">
      <c r="A27" s="1">
        <v>44255</v>
      </c>
      <c r="B27" t="s">
        <v>31</v>
      </c>
      <c r="C27">
        <v>1161795</v>
      </c>
    </row>
    <row r="28" spans="1:3" x14ac:dyDescent="0.35">
      <c r="A28" s="1">
        <v>44286</v>
      </c>
      <c r="B28" t="s">
        <v>32</v>
      </c>
      <c r="C28">
        <v>1180511</v>
      </c>
    </row>
    <row r="29" spans="1:3" x14ac:dyDescent="0.35">
      <c r="A29" s="1">
        <v>44316</v>
      </c>
      <c r="B29" t="s">
        <v>33</v>
      </c>
      <c r="C29">
        <v>1171411</v>
      </c>
    </row>
    <row r="30" spans="1:3" x14ac:dyDescent="0.35">
      <c r="A30" s="1">
        <v>44347</v>
      </c>
      <c r="B30" t="s">
        <v>34</v>
      </c>
      <c r="C30">
        <v>1176771</v>
      </c>
    </row>
    <row r="31" spans="1:3" x14ac:dyDescent="0.35">
      <c r="A31" s="1">
        <v>44377</v>
      </c>
      <c r="B31" t="s">
        <v>35</v>
      </c>
      <c r="C31">
        <v>1172189</v>
      </c>
    </row>
    <row r="32" spans="1:3" x14ac:dyDescent="0.35">
      <c r="A32" s="1">
        <v>44408</v>
      </c>
      <c r="B32" t="s">
        <v>36</v>
      </c>
      <c r="C32">
        <v>1179705</v>
      </c>
    </row>
    <row r="33" spans="1:3" x14ac:dyDescent="0.35">
      <c r="A33" s="1">
        <v>44439</v>
      </c>
      <c r="B33" t="s">
        <v>37</v>
      </c>
      <c r="C33">
        <v>1184643</v>
      </c>
    </row>
    <row r="34" spans="1:3" x14ac:dyDescent="0.35">
      <c r="A34" s="1">
        <v>44469</v>
      </c>
      <c r="B34" t="s">
        <v>38</v>
      </c>
      <c r="C34">
        <v>1184641</v>
      </c>
    </row>
    <row r="35" spans="1:3" x14ac:dyDescent="0.35">
      <c r="A35" s="1">
        <v>44500</v>
      </c>
      <c r="B35" t="s">
        <v>39</v>
      </c>
      <c r="C35">
        <v>1199371</v>
      </c>
    </row>
    <row r="36" spans="1:3" x14ac:dyDescent="0.35">
      <c r="A36" s="1">
        <v>44530</v>
      </c>
      <c r="B36" t="s">
        <v>40</v>
      </c>
      <c r="C36">
        <v>1209463</v>
      </c>
    </row>
    <row r="37" spans="1:3" x14ac:dyDescent="0.35">
      <c r="A37" s="1">
        <v>44561</v>
      </c>
      <c r="B37" t="s">
        <v>41</v>
      </c>
      <c r="C37">
        <v>1215825</v>
      </c>
    </row>
    <row r="38" spans="1:3" x14ac:dyDescent="0.35">
      <c r="A38" s="1">
        <v>44592</v>
      </c>
      <c r="B38" t="s">
        <v>42</v>
      </c>
      <c r="C38">
        <v>1223896</v>
      </c>
    </row>
    <row r="39" spans="1:3" x14ac:dyDescent="0.35">
      <c r="A39" s="1">
        <v>44620</v>
      </c>
      <c r="B39" t="s">
        <v>43</v>
      </c>
      <c r="C39">
        <v>1235419</v>
      </c>
    </row>
    <row r="40" spans="1:3" x14ac:dyDescent="0.35">
      <c r="A40" s="1">
        <v>44651</v>
      </c>
      <c r="B40" t="s">
        <v>44</v>
      </c>
      <c r="C40">
        <v>1245095</v>
      </c>
    </row>
    <row r="41" spans="1:3" x14ac:dyDescent="0.35">
      <c r="A41" s="1">
        <v>44681</v>
      </c>
      <c r="B41" t="s">
        <v>45</v>
      </c>
      <c r="C41">
        <v>1254942</v>
      </c>
    </row>
    <row r="42" spans="1:3" x14ac:dyDescent="0.35">
      <c r="A42" s="1">
        <v>44712</v>
      </c>
      <c r="B42" t="s">
        <v>46</v>
      </c>
      <c r="C42">
        <v>1266067</v>
      </c>
    </row>
    <row r="43" spans="1:3" x14ac:dyDescent="0.35">
      <c r="A43" s="1">
        <v>44742</v>
      </c>
      <c r="B43" t="s">
        <v>47</v>
      </c>
      <c r="C43">
        <v>1280408</v>
      </c>
    </row>
    <row r="44" spans="1:3" x14ac:dyDescent="0.35">
      <c r="A44" s="1">
        <v>44773</v>
      </c>
      <c r="B44" t="s">
        <v>48</v>
      </c>
      <c r="C44">
        <v>1297883</v>
      </c>
    </row>
    <row r="45" spans="1:3" x14ac:dyDescent="0.35">
      <c r="A45" s="1">
        <v>44804</v>
      </c>
      <c r="B45" t="s">
        <v>49</v>
      </c>
      <c r="C45">
        <v>1327547</v>
      </c>
    </row>
    <row r="46" spans="1:3" x14ac:dyDescent="0.35">
      <c r="A46" s="1">
        <v>44834</v>
      </c>
      <c r="B46" t="s">
        <v>50</v>
      </c>
      <c r="C46">
        <v>1337897</v>
      </c>
    </row>
    <row r="47" spans="1:3" x14ac:dyDescent="0.35">
      <c r="A47" s="1">
        <v>44865</v>
      </c>
      <c r="B47" t="s">
        <v>51</v>
      </c>
      <c r="C47">
        <v>1352001</v>
      </c>
    </row>
    <row r="48" spans="1:3" x14ac:dyDescent="0.35">
      <c r="A48" s="1">
        <v>44895</v>
      </c>
      <c r="B48" t="s">
        <v>52</v>
      </c>
      <c r="C48">
        <v>1357605</v>
      </c>
    </row>
    <row r="49" spans="1:3" x14ac:dyDescent="0.35">
      <c r="A49" s="1">
        <v>44926</v>
      </c>
      <c r="B49" t="s">
        <v>53</v>
      </c>
      <c r="C49">
        <v>1333221</v>
      </c>
    </row>
    <row r="50" spans="1:3" x14ac:dyDescent="0.35">
      <c r="A50" s="1">
        <v>44957</v>
      </c>
      <c r="B50" t="s">
        <v>54</v>
      </c>
      <c r="C50">
        <v>1344747</v>
      </c>
    </row>
    <row r="51" spans="1:3" x14ac:dyDescent="0.35">
      <c r="A51" s="1">
        <v>44985</v>
      </c>
      <c r="B51" t="s">
        <v>55</v>
      </c>
      <c r="C51">
        <v>1347799</v>
      </c>
    </row>
    <row r="52" spans="1:3" x14ac:dyDescent="0.35">
      <c r="A52" s="1">
        <v>45016</v>
      </c>
      <c r="B52" t="s">
        <v>56</v>
      </c>
      <c r="C52">
        <v>1343250</v>
      </c>
    </row>
    <row r="53" spans="1:3" x14ac:dyDescent="0.35">
      <c r="A53" s="1">
        <v>45046</v>
      </c>
      <c r="B53" t="s">
        <v>57</v>
      </c>
      <c r="C53">
        <v>1348573</v>
      </c>
    </row>
    <row r="54" spans="1:3" x14ac:dyDescent="0.35">
      <c r="A54" s="1">
        <v>45077</v>
      </c>
      <c r="B54" t="s">
        <v>58</v>
      </c>
      <c r="C54">
        <v>1360814</v>
      </c>
    </row>
    <row r="55" spans="1:3" x14ac:dyDescent="0.35">
      <c r="A55" s="1">
        <v>45107</v>
      </c>
      <c r="B55" t="s">
        <v>59</v>
      </c>
      <c r="C55">
        <v>1355906</v>
      </c>
    </row>
    <row r="56" spans="1:3" x14ac:dyDescent="0.35">
      <c r="A56" s="1">
        <v>45138</v>
      </c>
      <c r="B56" t="s">
        <v>60</v>
      </c>
      <c r="C56">
        <v>1360956</v>
      </c>
    </row>
    <row r="57" spans="1:3" x14ac:dyDescent="0.35">
      <c r="A57" s="1">
        <v>45169</v>
      </c>
      <c r="B57" t="s">
        <v>61</v>
      </c>
      <c r="C57">
        <v>1356111</v>
      </c>
    </row>
    <row r="58" spans="1:3" x14ac:dyDescent="0.35">
      <c r="A58" s="1">
        <v>45199</v>
      </c>
      <c r="B58" t="s">
        <v>62</v>
      </c>
      <c r="C58">
        <v>1352377</v>
      </c>
    </row>
    <row r="59" spans="1:3" x14ac:dyDescent="0.35">
      <c r="A59" s="1">
        <v>45230</v>
      </c>
      <c r="B59" t="s">
        <v>63</v>
      </c>
      <c r="C59">
        <v>1354882</v>
      </c>
    </row>
    <row r="60" spans="1:3" x14ac:dyDescent="0.35">
      <c r="A60" s="1">
        <v>45260</v>
      </c>
      <c r="B60" t="s">
        <v>64</v>
      </c>
      <c r="C60">
        <v>1360736</v>
      </c>
    </row>
    <row r="61" spans="1:3" x14ac:dyDescent="0.35">
      <c r="A61" s="1">
        <v>45291</v>
      </c>
      <c r="B61" t="s">
        <v>65</v>
      </c>
      <c r="C61">
        <v>1353613</v>
      </c>
    </row>
    <row r="62" spans="1:3" x14ac:dyDescent="0.35">
      <c r="A62" s="1">
        <v>45322</v>
      </c>
      <c r="B62" t="s">
        <v>66</v>
      </c>
      <c r="C62">
        <v>1356784</v>
      </c>
    </row>
    <row r="63" spans="1:3" x14ac:dyDescent="0.35">
      <c r="A63" s="1">
        <v>45351</v>
      </c>
      <c r="B63" t="s">
        <v>67</v>
      </c>
      <c r="C63">
        <v>1360658</v>
      </c>
    </row>
    <row r="64" spans="1:3" x14ac:dyDescent="0.35">
      <c r="A64" s="1">
        <v>45382</v>
      </c>
      <c r="B64" t="s">
        <v>68</v>
      </c>
      <c r="C64">
        <v>1361050</v>
      </c>
    </row>
    <row r="65" spans="1:3" x14ac:dyDescent="0.35">
      <c r="A65" s="1">
        <v>45412</v>
      </c>
      <c r="B65" t="s">
        <v>69</v>
      </c>
      <c r="C65">
        <v>1360516</v>
      </c>
    </row>
    <row r="66" spans="1:3" x14ac:dyDescent="0.35">
      <c r="A66" s="1">
        <v>45443</v>
      </c>
      <c r="B66" t="s">
        <v>70</v>
      </c>
      <c r="C66">
        <v>1362888</v>
      </c>
    </row>
    <row r="67" spans="1:3" x14ac:dyDescent="0.35">
      <c r="A67" s="1">
        <v>45473</v>
      </c>
      <c r="B67" t="s">
        <v>71</v>
      </c>
      <c r="C67">
        <v>1362908</v>
      </c>
    </row>
    <row r="68" spans="1:3" x14ac:dyDescent="0.35">
      <c r="A68" s="1">
        <v>45504</v>
      </c>
      <c r="B68" t="s">
        <v>72</v>
      </c>
      <c r="C68">
        <v>1361742</v>
      </c>
    </row>
    <row r="69" spans="1:3" x14ac:dyDescent="0.35">
      <c r="A69" s="1">
        <v>45535</v>
      </c>
      <c r="B69" t="s">
        <v>73</v>
      </c>
      <c r="C69">
        <v>1361490</v>
      </c>
    </row>
    <row r="70" spans="1:3" x14ac:dyDescent="0.35">
      <c r="A70" s="1">
        <v>45565</v>
      </c>
      <c r="B70" t="s">
        <v>74</v>
      </c>
      <c r="C70">
        <v>1360701</v>
      </c>
    </row>
    <row r="71" spans="1:3" x14ac:dyDescent="0.35">
      <c r="A71" s="1">
        <v>45596</v>
      </c>
      <c r="B71" t="s">
        <v>75</v>
      </c>
      <c r="C71">
        <v>1358515</v>
      </c>
    </row>
    <row r="72" spans="1:3" x14ac:dyDescent="0.35">
      <c r="A72" s="1">
        <v>45626</v>
      </c>
      <c r="B72" t="s">
        <v>76</v>
      </c>
      <c r="C72">
        <v>1364732</v>
      </c>
    </row>
    <row r="73" spans="1:3" x14ac:dyDescent="0.35">
      <c r="A73" s="1">
        <v>45657</v>
      </c>
      <c r="B73" t="s">
        <v>77</v>
      </c>
      <c r="C73">
        <v>1362703</v>
      </c>
    </row>
    <row r="74" spans="1:3" x14ac:dyDescent="0.35">
      <c r="A74" s="1">
        <v>45688</v>
      </c>
      <c r="B74" t="s">
        <v>78</v>
      </c>
      <c r="C74">
        <v>1365920</v>
      </c>
    </row>
    <row r="75" spans="1:3" x14ac:dyDescent="0.35">
      <c r="A75" s="1">
        <v>45716</v>
      </c>
      <c r="B75" t="s">
        <v>79</v>
      </c>
      <c r="C75">
        <v>1370357</v>
      </c>
    </row>
    <row r="76" spans="1:3" x14ac:dyDescent="0.35">
      <c r="A76" s="1">
        <v>45747</v>
      </c>
      <c r="B76" t="s">
        <v>80</v>
      </c>
      <c r="C76">
        <v>1369480</v>
      </c>
    </row>
    <row r="77" spans="1:3" x14ac:dyDescent="0.35">
      <c r="A77" s="1">
        <v>45777</v>
      </c>
      <c r="B77" t="s">
        <v>81</v>
      </c>
      <c r="C77">
        <v>1370428</v>
      </c>
    </row>
    <row r="78" spans="1:3" x14ac:dyDescent="0.35">
      <c r="A78" s="1">
        <v>45808</v>
      </c>
      <c r="B78" t="s">
        <v>82</v>
      </c>
      <c r="C78">
        <v>1370056</v>
      </c>
    </row>
    <row r="79" spans="1:3" x14ac:dyDescent="0.35">
      <c r="A79" s="1">
        <v>45838</v>
      </c>
      <c r="B79" t="s">
        <v>83</v>
      </c>
      <c r="C79">
        <v>1368802</v>
      </c>
    </row>
    <row r="80" spans="1:3" x14ac:dyDescent="0.35">
      <c r="A80" s="1">
        <v>45869</v>
      </c>
      <c r="B80" t="s">
        <v>84</v>
      </c>
      <c r="C80">
        <v>1369665</v>
      </c>
    </row>
    <row r="81" spans="1:3" x14ac:dyDescent="0.35">
      <c r="A81" s="1">
        <v>45900</v>
      </c>
      <c r="B81" t="s">
        <v>85</v>
      </c>
      <c r="C81">
        <v>1376759</v>
      </c>
    </row>
    <row r="82" spans="1:3" x14ac:dyDescent="0.35">
      <c r="A82" s="1">
        <v>45930</v>
      </c>
      <c r="B82" t="s">
        <v>86</v>
      </c>
      <c r="C82">
        <v>1370695</v>
      </c>
    </row>
    <row r="83" spans="1:3" x14ac:dyDescent="0.35">
      <c r="A83" s="1">
        <v>45961</v>
      </c>
      <c r="B83" t="s">
        <v>87</v>
      </c>
      <c r="C83">
        <v>1373457</v>
      </c>
    </row>
    <row r="84" spans="1:3" x14ac:dyDescent="0.35">
      <c r="A84" s="1">
        <v>45991</v>
      </c>
      <c r="B84" t="s">
        <v>88</v>
      </c>
      <c r="C84">
        <v>1380117</v>
      </c>
    </row>
    <row r="85" spans="1:3" x14ac:dyDescent="0.35">
      <c r="A85" s="1">
        <v>46022</v>
      </c>
      <c r="B85" t="s">
        <v>89</v>
      </c>
      <c r="C85">
        <v>1372452</v>
      </c>
    </row>
    <row r="86" spans="1:3" x14ac:dyDescent="0.35">
      <c r="A86" s="1">
        <v>46053</v>
      </c>
      <c r="B86" t="s">
        <v>90</v>
      </c>
      <c r="C86">
        <v>1363076</v>
      </c>
    </row>
    <row r="87" spans="1:3" x14ac:dyDescent="0.35">
      <c r="A87" s="1">
        <v>46081</v>
      </c>
      <c r="B87" t="s">
        <v>91</v>
      </c>
      <c r="C87">
        <v>1368109</v>
      </c>
    </row>
    <row r="88" spans="1:3" x14ac:dyDescent="0.35">
      <c r="A88" s="1">
        <v>46112</v>
      </c>
      <c r="B88" t="s">
        <v>92</v>
      </c>
      <c r="C88">
        <v>1368280</v>
      </c>
    </row>
    <row r="89" spans="1:3" x14ac:dyDescent="0.35">
      <c r="A89" s="1">
        <v>46142</v>
      </c>
      <c r="B89" t="s">
        <v>93</v>
      </c>
      <c r="C89">
        <v>1371233</v>
      </c>
    </row>
    <row r="90" spans="1:3" x14ac:dyDescent="0.35">
      <c r="A90" s="1">
        <v>46173</v>
      </c>
      <c r="B90" t="s">
        <v>94</v>
      </c>
      <c r="C90">
        <v>1378482</v>
      </c>
    </row>
    <row r="91" spans="1:3" x14ac:dyDescent="0.35">
      <c r="A91" s="1">
        <v>46203</v>
      </c>
      <c r="B91" t="s">
        <v>95</v>
      </c>
      <c r="C91">
        <v>1380350</v>
      </c>
    </row>
    <row r="92" spans="1:3" x14ac:dyDescent="0.35">
      <c r="A92" s="1">
        <v>46234</v>
      </c>
      <c r="B92" t="s">
        <v>96</v>
      </c>
      <c r="C92">
        <v>1380906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B7C2-AF17-46FF-B697-56E018ADDC76}">
  <sheetPr codeName="Sheet10"/>
  <dimension ref="A1:C92"/>
  <sheetViews>
    <sheetView workbookViewId="0">
      <selection activeCell="E16" sqref="E16"/>
    </sheetView>
  </sheetViews>
  <sheetFormatPr defaultRowHeight="14.5" x14ac:dyDescent="0.35"/>
  <cols>
    <col min="1" max="1" width="10.08984375" bestFit="1" customWidth="1"/>
    <col min="2" max="2" width="13.453125" customWidth="1"/>
    <col min="3" max="3" width="83.26953125" bestFit="1" customWidth="1"/>
  </cols>
  <sheetData>
    <row r="1" spans="1:3" x14ac:dyDescent="0.35">
      <c r="A1" t="s">
        <v>0</v>
      </c>
      <c r="B1" t="s">
        <v>1</v>
      </c>
      <c r="C1" t="s">
        <v>5</v>
      </c>
    </row>
    <row r="2" spans="1:3" x14ac:dyDescent="0.35">
      <c r="A2" s="1">
        <v>43496</v>
      </c>
      <c r="B2" t="s">
        <v>6</v>
      </c>
      <c r="C2">
        <v>53666</v>
      </c>
    </row>
    <row r="3" spans="1:3" x14ac:dyDescent="0.35">
      <c r="A3" s="1">
        <v>43524</v>
      </c>
      <c r="B3" t="s">
        <v>7</v>
      </c>
      <c r="C3">
        <v>49224</v>
      </c>
    </row>
    <row r="4" spans="1:3" x14ac:dyDescent="0.35">
      <c r="A4" s="1">
        <v>43555</v>
      </c>
      <c r="B4" t="s">
        <v>8</v>
      </c>
      <c r="C4">
        <v>55394</v>
      </c>
    </row>
    <row r="5" spans="1:3" x14ac:dyDescent="0.35">
      <c r="A5" s="1">
        <v>43585</v>
      </c>
      <c r="B5" t="s">
        <v>9</v>
      </c>
      <c r="C5">
        <v>60033</v>
      </c>
    </row>
    <row r="6" spans="1:3" x14ac:dyDescent="0.35">
      <c r="A6" s="1">
        <v>43616</v>
      </c>
      <c r="B6" t="s">
        <v>10</v>
      </c>
      <c r="C6">
        <v>56251</v>
      </c>
    </row>
    <row r="7" spans="1:3" x14ac:dyDescent="0.35">
      <c r="A7" s="1">
        <v>43646</v>
      </c>
      <c r="B7" t="s">
        <v>11</v>
      </c>
      <c r="C7">
        <v>58984</v>
      </c>
    </row>
    <row r="8" spans="1:3" x14ac:dyDescent="0.35">
      <c r="A8" s="1">
        <v>43677</v>
      </c>
      <c r="B8" t="s">
        <v>12</v>
      </c>
      <c r="C8">
        <v>62595</v>
      </c>
    </row>
    <row r="9" spans="1:3" x14ac:dyDescent="0.35">
      <c r="A9" s="1">
        <v>43708</v>
      </c>
      <c r="B9" t="s">
        <v>13</v>
      </c>
      <c r="C9">
        <v>50710</v>
      </c>
    </row>
    <row r="10" spans="1:3" x14ac:dyDescent="0.35">
      <c r="A10" s="1">
        <v>43738</v>
      </c>
      <c r="B10" t="s">
        <v>14</v>
      </c>
      <c r="C10">
        <v>58264</v>
      </c>
    </row>
    <row r="11" spans="1:3" x14ac:dyDescent="0.35">
      <c r="A11" s="1">
        <v>43769</v>
      </c>
      <c r="B11" t="s">
        <v>15</v>
      </c>
      <c r="C11">
        <v>57227</v>
      </c>
    </row>
    <row r="12" spans="1:3" x14ac:dyDescent="0.35">
      <c r="A12" s="1">
        <v>43799</v>
      </c>
      <c r="B12" t="s">
        <v>16</v>
      </c>
      <c r="C12">
        <v>53394</v>
      </c>
    </row>
    <row r="13" spans="1:3" x14ac:dyDescent="0.35">
      <c r="A13" s="1">
        <v>43830</v>
      </c>
      <c r="B13" t="s">
        <v>17</v>
      </c>
      <c r="C13">
        <v>75436</v>
      </c>
    </row>
    <row r="14" spans="1:3" x14ac:dyDescent="0.35">
      <c r="A14" s="1">
        <v>43861</v>
      </c>
      <c r="B14" t="s">
        <v>18</v>
      </c>
      <c r="C14">
        <v>50439</v>
      </c>
    </row>
    <row r="15" spans="1:3" x14ac:dyDescent="0.35">
      <c r="A15" s="1">
        <v>43890</v>
      </c>
      <c r="B15" t="s">
        <v>19</v>
      </c>
      <c r="C15">
        <v>48433</v>
      </c>
    </row>
    <row r="16" spans="1:3" x14ac:dyDescent="0.35">
      <c r="A16" s="1">
        <v>43921</v>
      </c>
      <c r="B16" t="s">
        <v>20</v>
      </c>
      <c r="C16">
        <v>71850</v>
      </c>
    </row>
    <row r="17" spans="1:3" x14ac:dyDescent="0.35">
      <c r="A17" s="1">
        <v>43951</v>
      </c>
      <c r="B17" t="s">
        <v>21</v>
      </c>
      <c r="C17">
        <v>57567</v>
      </c>
    </row>
    <row r="18" spans="1:3" x14ac:dyDescent="0.35">
      <c r="A18" s="1">
        <v>43982</v>
      </c>
      <c r="B18" t="s">
        <v>22</v>
      </c>
      <c r="C18">
        <v>51330</v>
      </c>
    </row>
    <row r="19" spans="1:3" x14ac:dyDescent="0.35">
      <c r="A19" s="1">
        <v>44012</v>
      </c>
      <c r="B19" t="s">
        <v>23</v>
      </c>
      <c r="C19">
        <v>56293</v>
      </c>
    </row>
    <row r="20" spans="1:3" x14ac:dyDescent="0.35">
      <c r="A20" s="1">
        <v>44043</v>
      </c>
      <c r="B20" t="s">
        <v>24</v>
      </c>
      <c r="C20">
        <v>48992</v>
      </c>
    </row>
    <row r="21" spans="1:3" x14ac:dyDescent="0.35">
      <c r="A21" s="1">
        <v>44074</v>
      </c>
      <c r="B21" t="s">
        <v>25</v>
      </c>
      <c r="C21">
        <v>39287</v>
      </c>
    </row>
    <row r="22" spans="1:3" x14ac:dyDescent="0.35">
      <c r="A22" s="1">
        <v>44104</v>
      </c>
      <c r="B22" t="s">
        <v>26</v>
      </c>
      <c r="C22">
        <v>49712</v>
      </c>
    </row>
    <row r="23" spans="1:3" x14ac:dyDescent="0.35">
      <c r="A23" s="1">
        <v>44135</v>
      </c>
      <c r="B23" t="s">
        <v>27</v>
      </c>
      <c r="C23">
        <v>46031</v>
      </c>
    </row>
    <row r="24" spans="1:3" x14ac:dyDescent="0.35">
      <c r="A24" s="1">
        <v>44165</v>
      </c>
      <c r="B24" t="s">
        <v>28</v>
      </c>
      <c r="C24">
        <v>44795</v>
      </c>
    </row>
    <row r="25" spans="1:3" x14ac:dyDescent="0.35">
      <c r="A25" s="1">
        <v>44196</v>
      </c>
      <c r="B25" t="s">
        <v>29</v>
      </c>
      <c r="C25">
        <v>61453</v>
      </c>
    </row>
    <row r="26" spans="1:3" x14ac:dyDescent="0.35">
      <c r="A26" s="1">
        <v>44227</v>
      </c>
      <c r="B26" t="s">
        <v>30</v>
      </c>
      <c r="C26">
        <v>37482</v>
      </c>
    </row>
    <row r="27" spans="1:3" x14ac:dyDescent="0.35">
      <c r="A27" s="1">
        <v>44255</v>
      </c>
      <c r="B27" t="s">
        <v>31</v>
      </c>
      <c r="C27">
        <v>39808</v>
      </c>
    </row>
    <row r="28" spans="1:3" x14ac:dyDescent="0.35">
      <c r="A28" s="1">
        <v>44286</v>
      </c>
      <c r="B28" t="s">
        <v>32</v>
      </c>
      <c r="C28">
        <v>71405</v>
      </c>
    </row>
    <row r="29" spans="1:3" x14ac:dyDescent="0.35">
      <c r="A29" s="1">
        <v>44316</v>
      </c>
      <c r="B29" t="s">
        <v>33</v>
      </c>
      <c r="C29">
        <v>37857</v>
      </c>
    </row>
    <row r="30" spans="1:3" x14ac:dyDescent="0.35">
      <c r="A30" s="1">
        <v>44347</v>
      </c>
      <c r="B30" t="s">
        <v>34</v>
      </c>
      <c r="C30">
        <v>42588</v>
      </c>
    </row>
    <row r="31" spans="1:3" x14ac:dyDescent="0.35">
      <c r="A31" s="1">
        <v>44377</v>
      </c>
      <c r="B31" t="s">
        <v>35</v>
      </c>
      <c r="C31">
        <v>55246</v>
      </c>
    </row>
    <row r="32" spans="1:3" x14ac:dyDescent="0.35">
      <c r="A32" s="1">
        <v>44408</v>
      </c>
      <c r="B32" t="s">
        <v>36</v>
      </c>
      <c r="C32">
        <v>49313</v>
      </c>
    </row>
    <row r="33" spans="1:3" x14ac:dyDescent="0.35">
      <c r="A33" s="1">
        <v>44439</v>
      </c>
      <c r="B33" t="s">
        <v>37</v>
      </c>
      <c r="C33">
        <v>39308</v>
      </c>
    </row>
    <row r="34" spans="1:3" x14ac:dyDescent="0.35">
      <c r="A34" s="1">
        <v>44469</v>
      </c>
      <c r="B34" t="s">
        <v>38</v>
      </c>
      <c r="C34">
        <v>45930</v>
      </c>
    </row>
    <row r="35" spans="1:3" x14ac:dyDescent="0.35">
      <c r="A35" s="1">
        <v>44500</v>
      </c>
      <c r="B35" t="s">
        <v>39</v>
      </c>
      <c r="C35">
        <v>51018</v>
      </c>
    </row>
    <row r="36" spans="1:3" x14ac:dyDescent="0.35">
      <c r="A36" s="1">
        <v>44530</v>
      </c>
      <c r="B36" t="s">
        <v>40</v>
      </c>
      <c r="C36">
        <v>56535</v>
      </c>
    </row>
    <row r="37" spans="1:3" x14ac:dyDescent="0.35">
      <c r="A37" s="1">
        <v>44561</v>
      </c>
      <c r="B37" t="s">
        <v>41</v>
      </c>
      <c r="C37">
        <v>75953</v>
      </c>
    </row>
    <row r="38" spans="1:3" x14ac:dyDescent="0.35">
      <c r="A38" s="1">
        <v>44592</v>
      </c>
      <c r="B38" t="s">
        <v>42</v>
      </c>
      <c r="C38">
        <v>43783</v>
      </c>
    </row>
    <row r="39" spans="1:3" x14ac:dyDescent="0.35">
      <c r="A39" s="1">
        <v>44620</v>
      </c>
      <c r="B39" t="s">
        <v>43</v>
      </c>
      <c r="C39">
        <v>47988</v>
      </c>
    </row>
    <row r="40" spans="1:3" x14ac:dyDescent="0.35">
      <c r="A40" s="1">
        <v>44651</v>
      </c>
      <c r="B40" t="s">
        <v>44</v>
      </c>
      <c r="C40">
        <v>70681</v>
      </c>
    </row>
    <row r="41" spans="1:3" x14ac:dyDescent="0.35">
      <c r="A41" s="1">
        <v>44681</v>
      </c>
      <c r="B41" t="s">
        <v>45</v>
      </c>
      <c r="C41">
        <v>54712</v>
      </c>
    </row>
    <row r="42" spans="1:3" x14ac:dyDescent="0.35">
      <c r="A42" s="1">
        <v>44712</v>
      </c>
      <c r="B42" t="s">
        <v>46</v>
      </c>
      <c r="C42">
        <v>59640</v>
      </c>
    </row>
    <row r="43" spans="1:3" x14ac:dyDescent="0.35">
      <c r="A43" s="1">
        <v>44742</v>
      </c>
      <c r="B43" t="s">
        <v>47</v>
      </c>
      <c r="C43">
        <v>94842</v>
      </c>
    </row>
    <row r="44" spans="1:3" x14ac:dyDescent="0.35">
      <c r="A44" s="1">
        <v>44773</v>
      </c>
      <c r="B44" t="s">
        <v>48</v>
      </c>
      <c r="C44">
        <v>58260</v>
      </c>
    </row>
    <row r="45" spans="1:3" x14ac:dyDescent="0.35">
      <c r="A45" s="1">
        <v>44804</v>
      </c>
      <c r="B45" t="s">
        <v>49</v>
      </c>
      <c r="C45">
        <v>66993</v>
      </c>
    </row>
    <row r="46" spans="1:3" x14ac:dyDescent="0.35">
      <c r="A46" s="1">
        <v>44834</v>
      </c>
      <c r="B46" t="s">
        <v>50</v>
      </c>
      <c r="C46">
        <v>70879</v>
      </c>
    </row>
    <row r="47" spans="1:3" x14ac:dyDescent="0.35">
      <c r="A47" s="1">
        <v>44865</v>
      </c>
      <c r="B47" t="s">
        <v>51</v>
      </c>
      <c r="C47">
        <v>63154</v>
      </c>
    </row>
    <row r="48" spans="1:3" x14ac:dyDescent="0.35">
      <c r="A48" s="1">
        <v>44895</v>
      </c>
      <c r="B48" t="s">
        <v>52</v>
      </c>
      <c r="C48">
        <v>56210</v>
      </c>
    </row>
    <row r="49" spans="1:3" x14ac:dyDescent="0.35">
      <c r="A49" s="1">
        <v>44926</v>
      </c>
      <c r="B49" t="s">
        <v>53</v>
      </c>
      <c r="C49">
        <v>74461</v>
      </c>
    </row>
    <row r="50" spans="1:3" x14ac:dyDescent="0.35">
      <c r="A50" s="1">
        <v>44957</v>
      </c>
      <c r="B50" t="s">
        <v>54</v>
      </c>
      <c r="C50">
        <v>58268</v>
      </c>
    </row>
    <row r="51" spans="1:3" x14ac:dyDescent="0.35">
      <c r="A51" s="1">
        <v>44985</v>
      </c>
      <c r="B51" t="s">
        <v>55</v>
      </c>
      <c r="C51">
        <v>65700</v>
      </c>
    </row>
    <row r="52" spans="1:3" x14ac:dyDescent="0.35">
      <c r="A52" s="1">
        <v>45016</v>
      </c>
      <c r="B52" t="s">
        <v>56</v>
      </c>
      <c r="C52">
        <v>72597</v>
      </c>
    </row>
    <row r="53" spans="1:3" x14ac:dyDescent="0.35">
      <c r="A53" s="1">
        <v>45046</v>
      </c>
      <c r="B53" t="s">
        <v>57</v>
      </c>
      <c r="C53">
        <v>50533</v>
      </c>
    </row>
    <row r="54" spans="1:3" x14ac:dyDescent="0.35">
      <c r="A54" s="1">
        <v>45077</v>
      </c>
      <c r="B54" t="s">
        <v>58</v>
      </c>
      <c r="C54">
        <v>58226</v>
      </c>
    </row>
    <row r="55" spans="1:3" x14ac:dyDescent="0.35">
      <c r="A55" s="1">
        <v>45107</v>
      </c>
      <c r="B55" t="s">
        <v>59</v>
      </c>
      <c r="C55">
        <v>67654</v>
      </c>
    </row>
    <row r="56" spans="1:3" x14ac:dyDescent="0.35">
      <c r="A56" s="1">
        <v>45138</v>
      </c>
      <c r="B56" t="s">
        <v>60</v>
      </c>
      <c r="C56">
        <v>57453</v>
      </c>
    </row>
    <row r="57" spans="1:3" x14ac:dyDescent="0.35">
      <c r="A57" s="1">
        <v>45169</v>
      </c>
      <c r="B57" t="s">
        <v>61</v>
      </c>
      <c r="C57">
        <v>51977</v>
      </c>
    </row>
    <row r="58" spans="1:3" x14ac:dyDescent="0.35">
      <c r="A58" s="1">
        <v>45199</v>
      </c>
      <c r="B58" t="s">
        <v>62</v>
      </c>
      <c r="C58">
        <v>57615</v>
      </c>
    </row>
    <row r="59" spans="1:3" x14ac:dyDescent="0.35">
      <c r="A59" s="1">
        <v>45230</v>
      </c>
      <c r="B59" t="s">
        <v>63</v>
      </c>
      <c r="C59">
        <v>51984</v>
      </c>
    </row>
    <row r="60" spans="1:3" x14ac:dyDescent="0.35">
      <c r="A60" s="1">
        <v>45260</v>
      </c>
      <c r="B60" t="s">
        <v>64</v>
      </c>
      <c r="C60">
        <v>56849</v>
      </c>
    </row>
    <row r="61" spans="1:3" x14ac:dyDescent="0.35">
      <c r="A61" s="1">
        <v>45291</v>
      </c>
      <c r="B61" t="s">
        <v>65</v>
      </c>
      <c r="C61">
        <v>76896</v>
      </c>
    </row>
    <row r="62" spans="1:3" x14ac:dyDescent="0.35">
      <c r="A62" s="1">
        <v>45322</v>
      </c>
      <c r="B62" t="s">
        <v>66</v>
      </c>
      <c r="C62">
        <v>53264</v>
      </c>
    </row>
    <row r="63" spans="1:3" x14ac:dyDescent="0.35">
      <c r="A63" s="1">
        <v>45351</v>
      </c>
      <c r="B63" t="s">
        <v>67</v>
      </c>
      <c r="C63">
        <v>53919</v>
      </c>
    </row>
    <row r="64" spans="1:3" x14ac:dyDescent="0.35">
      <c r="A64" s="1">
        <v>45382</v>
      </c>
      <c r="B64" t="s">
        <v>68</v>
      </c>
      <c r="C64">
        <v>65775</v>
      </c>
    </row>
    <row r="65" spans="1:3" x14ac:dyDescent="0.35">
      <c r="A65" s="1">
        <v>45412</v>
      </c>
      <c r="B65" t="s">
        <v>69</v>
      </c>
      <c r="C65">
        <v>56606</v>
      </c>
    </row>
    <row r="66" spans="1:3" x14ac:dyDescent="0.35">
      <c r="A66" s="1">
        <v>45443</v>
      </c>
      <c r="B66" t="s">
        <v>70</v>
      </c>
      <c r="C66">
        <v>61576</v>
      </c>
    </row>
    <row r="67" spans="1:3" x14ac:dyDescent="0.35">
      <c r="A67" s="1">
        <v>45473</v>
      </c>
      <c r="B67" t="s">
        <v>71</v>
      </c>
      <c r="C67">
        <v>70123</v>
      </c>
    </row>
    <row r="68" spans="1:3" x14ac:dyDescent="0.35">
      <c r="A68" s="1">
        <v>45504</v>
      </c>
      <c r="B68" t="s">
        <v>72</v>
      </c>
      <c r="C68">
        <v>60191</v>
      </c>
    </row>
    <row r="69" spans="1:3" x14ac:dyDescent="0.35">
      <c r="A69" s="1">
        <v>45535</v>
      </c>
      <c r="B69" t="s">
        <v>73</v>
      </c>
      <c r="C69">
        <v>56093</v>
      </c>
    </row>
    <row r="70" spans="1:3" x14ac:dyDescent="0.35">
      <c r="A70" s="1">
        <v>45565</v>
      </c>
      <c r="B70" t="s">
        <v>74</v>
      </c>
      <c r="C70">
        <v>77186</v>
      </c>
    </row>
    <row r="71" spans="1:3" x14ac:dyDescent="0.35">
      <c r="A71" s="1">
        <v>45596</v>
      </c>
      <c r="B71" t="s">
        <v>75</v>
      </c>
      <c r="C71">
        <v>71158</v>
      </c>
    </row>
    <row r="72" spans="1:3" x14ac:dyDescent="0.35">
      <c r="A72" s="1">
        <v>45626</v>
      </c>
      <c r="B72" t="s">
        <v>76</v>
      </c>
      <c r="C72">
        <v>58535</v>
      </c>
    </row>
    <row r="73" spans="1:3" x14ac:dyDescent="0.35">
      <c r="A73" s="1">
        <v>45657</v>
      </c>
      <c r="B73" t="s">
        <v>77</v>
      </c>
      <c r="C73">
        <v>75940</v>
      </c>
    </row>
    <row r="74" spans="1:3" x14ac:dyDescent="0.35">
      <c r="A74" s="1">
        <v>45688</v>
      </c>
      <c r="B74" t="s">
        <v>78</v>
      </c>
      <c r="C74">
        <v>52859</v>
      </c>
    </row>
    <row r="75" spans="1:3" x14ac:dyDescent="0.35">
      <c r="A75" s="1">
        <v>45716</v>
      </c>
      <c r="B75" t="s">
        <v>79</v>
      </c>
      <c r="C75">
        <v>54450</v>
      </c>
    </row>
    <row r="76" spans="1:3" x14ac:dyDescent="0.35">
      <c r="A76" s="1">
        <v>45747</v>
      </c>
      <c r="B76" t="s">
        <v>80</v>
      </c>
      <c r="C76">
        <v>85751</v>
      </c>
    </row>
    <row r="77" spans="1:3" x14ac:dyDescent="0.35">
      <c r="A77" s="1">
        <v>45777</v>
      </c>
      <c r="B77" t="s">
        <v>81</v>
      </c>
      <c r="C77">
        <v>72461</v>
      </c>
    </row>
    <row r="78" spans="1:3" x14ac:dyDescent="0.35">
      <c r="A78" s="1">
        <v>45808</v>
      </c>
      <c r="B78" t="s">
        <v>82</v>
      </c>
      <c r="C78">
        <v>70087</v>
      </c>
    </row>
    <row r="79" spans="1:3" x14ac:dyDescent="0.35">
      <c r="A79" s="1">
        <v>45838</v>
      </c>
      <c r="B79" t="s">
        <v>83</v>
      </c>
      <c r="C79">
        <v>80306</v>
      </c>
    </row>
    <row r="80" spans="1:3" x14ac:dyDescent="0.35">
      <c r="A80" s="1">
        <v>45869</v>
      </c>
      <c r="B80" t="s">
        <v>84</v>
      </c>
      <c r="C80">
        <v>76197</v>
      </c>
    </row>
    <row r="81" spans="1:3" x14ac:dyDescent="0.35">
      <c r="A81" s="1">
        <v>45900</v>
      </c>
      <c r="B81" t="s">
        <v>85</v>
      </c>
      <c r="C81">
        <v>64868</v>
      </c>
    </row>
    <row r="82" spans="1:3" x14ac:dyDescent="0.35">
      <c r="A82" s="1">
        <v>45930</v>
      </c>
      <c r="B82" t="s">
        <v>86</v>
      </c>
      <c r="C82">
        <v>80367</v>
      </c>
    </row>
    <row r="83" spans="1:3" x14ac:dyDescent="0.35">
      <c r="A83" s="1">
        <v>45961</v>
      </c>
      <c r="B83" t="s">
        <v>87</v>
      </c>
      <c r="C83">
        <v>74794</v>
      </c>
    </row>
    <row r="84" spans="1:3" x14ac:dyDescent="0.35">
      <c r="A84" s="1">
        <v>45991</v>
      </c>
      <c r="B84" t="s">
        <v>88</v>
      </c>
      <c r="C84">
        <v>75330</v>
      </c>
    </row>
    <row r="85" spans="1:3" x14ac:dyDescent="0.35">
      <c r="A85" s="1">
        <v>46022</v>
      </c>
      <c r="B85" t="s">
        <v>89</v>
      </c>
      <c r="C85">
        <v>92307</v>
      </c>
    </row>
    <row r="86" spans="1:3" x14ac:dyDescent="0.35">
      <c r="A86" s="1">
        <v>46053</v>
      </c>
      <c r="B86" t="s">
        <v>90</v>
      </c>
      <c r="C86">
        <v>61933</v>
      </c>
    </row>
    <row r="87" spans="1:3" x14ac:dyDescent="0.35">
      <c r="A87" s="1">
        <v>46081</v>
      </c>
      <c r="B87" t="s">
        <v>91</v>
      </c>
      <c r="C87">
        <v>67661</v>
      </c>
    </row>
    <row r="88" spans="1:3" x14ac:dyDescent="0.35">
      <c r="A88" s="1">
        <v>46112</v>
      </c>
      <c r="B88" t="s">
        <v>92</v>
      </c>
      <c r="C88">
        <v>86234</v>
      </c>
    </row>
    <row r="89" spans="1:3" x14ac:dyDescent="0.35">
      <c r="A89" s="1">
        <v>46142</v>
      </c>
      <c r="B89" t="s">
        <v>93</v>
      </c>
      <c r="C89">
        <v>69790</v>
      </c>
    </row>
    <row r="90" spans="1:3" x14ac:dyDescent="0.35">
      <c r="A90" s="1">
        <v>46173</v>
      </c>
      <c r="B90" t="s">
        <v>94</v>
      </c>
      <c r="C90">
        <v>72760</v>
      </c>
    </row>
    <row r="91" spans="1:3" x14ac:dyDescent="0.35">
      <c r="A91" s="1">
        <v>46203</v>
      </c>
      <c r="B91" t="s">
        <v>95</v>
      </c>
      <c r="C91">
        <v>86130</v>
      </c>
    </row>
    <row r="92" spans="1:3" x14ac:dyDescent="0.35">
      <c r="A92" s="1">
        <v>46234</v>
      </c>
      <c r="B92" t="s">
        <v>96</v>
      </c>
      <c r="C92">
        <v>74496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5D0578245A0E24ABE56C9E70BE1CBA8" ma:contentTypeVersion="4" ma:contentTypeDescription="Ein neues Dokument erstellen." ma:contentTypeScope="" ma:versionID="2b35b8f67ed05b20c32117e6ba0cd2b9">
  <xsd:schema xmlns:xsd="http://www.w3.org/2001/XMLSchema" xmlns:xs="http://www.w3.org/2001/XMLSchema" xmlns:p="http://schemas.microsoft.com/office/2006/metadata/properties" xmlns:ns3="e477d52c-6c7a-4bea-a4ee-de9844ac1d85" targetNamespace="http://schemas.microsoft.com/office/2006/metadata/properties" ma:root="true" ma:fieldsID="7a684d8364a64ad7fa89deb35e5c2a68" ns3:_="">
    <xsd:import namespace="e477d52c-6c7a-4bea-a4ee-de9844ac1d8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77d52c-6c7a-4bea-a4ee-de9844ac1d8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FC65FB-9C7F-4A85-A965-B8923039F979}">
  <ds:schemaRefs>
    <ds:schemaRef ds:uri="http://schemas.microsoft.com/office/2006/documentManagement/types"/>
    <ds:schemaRef ds:uri="http://purl.org/dc/terms/"/>
    <ds:schemaRef ds:uri="http://www.w3.org/XML/1998/namespace"/>
    <ds:schemaRef ds:uri="e477d52c-6c7a-4bea-a4ee-de9844ac1d85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12FE9FA-D115-4721-B400-0E44D7EE2C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20FD4F-13CF-4425-ACE8-814979932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77d52c-6c7a-4bea-a4ee-de9844ac1d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analysis_calculated</vt:lpstr>
      <vt:lpstr>data_validation</vt:lpstr>
      <vt:lpstr>01_Rates</vt:lpstr>
      <vt:lpstr>02_New_Lending</vt:lpstr>
      <vt:lpstr>03_Loan_Growth</vt:lpstr>
      <vt:lpstr>04_Policy_Regime_Rate</vt:lpstr>
      <vt:lpstr>04_Policy_Regime_Volume</vt:lpstr>
      <vt:lpstr>05_Average_Yearly_Values</vt:lpstr>
      <vt:lpstr>ECB_DFR</vt:lpstr>
      <vt:lpstr>Corporate_Loan_Rate</vt:lpstr>
      <vt:lpstr>Loan_Stock</vt:lpstr>
      <vt:lpstr>New_Loan_Volume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d06qul7v06@goetheuniversitaet.onmicrosoft.com</dc:creator>
  <cp:lastModifiedBy>d06qul7v06@goetheuniversitaet.onmicrosoft.com</cp:lastModifiedBy>
  <dcterms:created xsi:type="dcterms:W3CDTF">2026-09-07T13:46:39Z</dcterms:created>
  <dcterms:modified xsi:type="dcterms:W3CDTF">2026-09-11T14:56:45Z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0x01010035D0578245A0E24ABE56C9E70BE1CBA8</vt:lpwstr>
  </property>
</Properties>
</file>